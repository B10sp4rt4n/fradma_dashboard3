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13_ncr:1_{5D6D42E5-7E4B-493B-9812-065A74D8AC42}" xr6:coauthVersionLast="47" xr6:coauthVersionMax="47" xr10:uidLastSave="{00000000-0000-0000-0000-000000000000}"/>
  <bookViews>
    <workbookView xWindow="-120" yWindow="-120" windowWidth="19440" windowHeight="10440" firstSheet="1" activeTab="3" xr2:uid="{B658A467-EAB7-4D30-B2C7-4BE7A2E59720}"/>
  </bookViews>
  <sheets>
    <sheet name="Vtas SAE" sheetId="9" r:id="rId1"/>
    <sheet name="CXC VG" sheetId="10" r:id="rId2"/>
    <sheet name="CXC VCD" sheetId="11" r:id="rId3"/>
    <sheet name="CXPG" sheetId="1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7" i="12" l="1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E3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RECEPCION2</author>
  </authors>
  <commentList>
    <comment ref="C306" authorId="0" shapeId="0" xr:uid="{79529DB6-EAC8-405F-8552-C06F4F2B9B29}">
      <text>
        <r>
          <rPr>
            <b/>
            <sz val="9"/>
            <color indexed="81"/>
            <rFont val="Tahoma"/>
            <family val="2"/>
          </rPr>
          <t>FACTURA 605 EQUILAN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52" authorId="0" shapeId="0" xr:uid="{1EF70449-04B4-4840-98A0-68F339E625D5}">
      <text>
        <r>
          <rPr>
            <b/>
            <sz val="9"/>
            <color indexed="81"/>
            <rFont val="Tahoma"/>
            <family val="2"/>
          </rPr>
          <t>FACTURA E 637 WIN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3" authorId="0" shapeId="0" xr:uid="{69030C16-34E7-44FF-8CA4-9C38FAEC7A6A}">
      <text>
        <r>
          <rPr>
            <sz val="9"/>
            <color indexed="81"/>
            <rFont val="Tahoma"/>
            <family val="2"/>
          </rPr>
          <t>FACTURA E 629 TURISTICA</t>
        </r>
      </text>
    </comment>
    <comment ref="C862" authorId="0" shapeId="0" xr:uid="{117A37C7-B102-4B46-AEBC-1F9BB5576499}">
      <text>
        <r>
          <rPr>
            <b/>
            <sz val="9"/>
            <color indexed="81"/>
            <rFont val="Tahoma"/>
            <family val="2"/>
          </rPr>
          <t>FACTURA E 635 EQUILAN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98" authorId="0" shapeId="0" xr:uid="{1C64E0B9-6770-4FF1-9A16-E35A6E458109}">
      <text>
        <r>
          <rPr>
            <b/>
            <sz val="9"/>
            <color indexed="81"/>
            <rFont val="Tahoma"/>
            <family val="2"/>
          </rPr>
          <t>FACTURA E 643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98" authorId="0" shapeId="0" xr:uid="{73EE1004-9128-4941-A36B-1F4C1EBBB02B}">
      <text>
        <r>
          <rPr>
            <b/>
            <sz val="9"/>
            <color indexed="81"/>
            <rFont val="Tahoma"/>
            <family val="2"/>
          </rPr>
          <t>E 654</t>
        </r>
      </text>
    </comment>
    <comment ref="D999" authorId="0" shapeId="0" xr:uid="{03D1C1AE-D8B4-4298-A394-86DC5D4BCC5F}">
      <text>
        <r>
          <rPr>
            <b/>
            <sz val="9"/>
            <color indexed="81"/>
            <rFont val="Tahoma"/>
            <family val="2"/>
          </rPr>
          <t>E 653</t>
        </r>
      </text>
    </comment>
    <comment ref="D1009" authorId="0" shapeId="0" xr:uid="{15DFBA52-2B51-4F6B-9A05-8DCAA490DE10}">
      <text>
        <r>
          <rPr>
            <b/>
            <sz val="9"/>
            <color indexed="81"/>
            <rFont val="Tahoma"/>
            <family val="2"/>
          </rPr>
          <t>E 656</t>
        </r>
      </text>
    </comment>
    <comment ref="C1194" authorId="0" shapeId="0" xr:uid="{FEB95B77-30EC-4960-A41D-AB4883FD8CFC}">
      <text>
        <r>
          <rPr>
            <b/>
            <sz val="9"/>
            <color indexed="81"/>
            <rFont val="Tahoma"/>
            <family val="2"/>
          </rPr>
          <t xml:space="preserve">E 672
</t>
        </r>
      </text>
    </comment>
  </commentList>
</comments>
</file>

<file path=xl/sharedStrings.xml><?xml version="1.0" encoding="utf-8"?>
<sst xmlns="http://schemas.openxmlformats.org/spreadsheetml/2006/main" count="9305" uniqueCount="2098">
  <si>
    <t>fecha</t>
  </si>
  <si>
    <t>linea_de_negocio</t>
  </si>
  <si>
    <t>cliente</t>
  </si>
  <si>
    <t>vendedor</t>
  </si>
  <si>
    <t>producto</t>
  </si>
  <si>
    <t>factura</t>
  </si>
  <si>
    <t>saldo_adeudado</t>
  </si>
  <si>
    <t>dias_vencido</t>
  </si>
  <si>
    <t>PISO</t>
  </si>
  <si>
    <t>QUIMICO</t>
  </si>
  <si>
    <t>ACCESORIO</t>
  </si>
  <si>
    <t>REVISION</t>
  </si>
  <si>
    <t>ENVASES UNIVERSALES DE MEXICO</t>
  </si>
  <si>
    <t>RUBEN ARROYO</t>
  </si>
  <si>
    <t>VENTA MOSTRADOR</t>
  </si>
  <si>
    <t>OSCAR RIVAS</t>
  </si>
  <si>
    <t>REFACCION-SERVICIO</t>
  </si>
  <si>
    <t>RUBBISH SERVICES &amp; INDUSTRIAL WASTE</t>
  </si>
  <si>
    <t>REFACCION</t>
  </si>
  <si>
    <t>ALIMENTOS DE LA GRANJA</t>
  </si>
  <si>
    <t>EQUIPO HOME &amp; GARDEN</t>
  </si>
  <si>
    <t>JORGE IVAN LOPEZ OCHOA</t>
  </si>
  <si>
    <t>EQUIPOS Y LIMPIEZA DE ALTO NIVEL</t>
  </si>
  <si>
    <t>EQUIPO PROFESIONAL</t>
  </si>
  <si>
    <t>TALLERES UNIDOS CHETO</t>
  </si>
  <si>
    <t>MAQUE CAFÉ</t>
  </si>
  <si>
    <t>JACKSON DAWSON DE MEXICO</t>
  </si>
  <si>
    <t>SERVICIO</t>
  </si>
  <si>
    <t>CRESTA IZTAPALAPA</t>
  </si>
  <si>
    <t>IMPERIO AUTOMOTRIZ IZTAPALAPA</t>
  </si>
  <si>
    <t>CANCELADA</t>
  </si>
  <si>
    <t>BEST BRAKES MEXICO</t>
  </si>
  <si>
    <t>CRYSA PROVEEDORA INDUSTRIAL</t>
  </si>
  <si>
    <t xml:space="preserve">KARCHER </t>
  </si>
  <si>
    <t>INTERNO</t>
  </si>
  <si>
    <t>OVA SERVICIOS Y MANTENIMIENTO</t>
  </si>
  <si>
    <t>ASPIRADORA NT 48/1</t>
  </si>
  <si>
    <t>HIDROLAVADORA K 4 CAR</t>
  </si>
  <si>
    <t>CLUB DE FUTBOL CRUZ AZUL</t>
  </si>
  <si>
    <t>HIDROLAVADORA HD 6/15</t>
  </si>
  <si>
    <t>PARTNERTASTE</t>
  </si>
  <si>
    <t>GRUPO AD PLASTICOS</t>
  </si>
  <si>
    <t>HORTENSIA RAMIREZ MEZA</t>
  </si>
  <si>
    <t>HIDROLAVADORA K 5</t>
  </si>
  <si>
    <t>HIDROLAVADORA K 2 INDUCTION</t>
  </si>
  <si>
    <t>CONSTRUCCIONES NEMAEL</t>
  </si>
  <si>
    <t xml:space="preserve">MULTIELECTRICA INDUSTRIAL </t>
  </si>
  <si>
    <t>OSCAR GUERRERO</t>
  </si>
  <si>
    <t>DELTA INGENIERIA ESPECIALIZADA</t>
  </si>
  <si>
    <t>ANDREA GONZALEZ</t>
  </si>
  <si>
    <t>ASPIRADORA WD 1</t>
  </si>
  <si>
    <t>HIDROLAVADORA PRO HD 400</t>
  </si>
  <si>
    <t>HIDROLAVADORA HD 4/9</t>
  </si>
  <si>
    <t>EXCELENCIA AUTOMOTRIZ DEL NORTE</t>
  </si>
  <si>
    <t>ASPIRADORA NT 30/1</t>
  </si>
  <si>
    <t>HIDROLAVADORA HD 10/25</t>
  </si>
  <si>
    <t>HIDROLAVADORA K 4 PREMIUM</t>
  </si>
  <si>
    <t>HIDROLAVADORA K 4</t>
  </si>
  <si>
    <t>HIDROLAVADORA G 2600</t>
  </si>
  <si>
    <t>SERGIO QUINTO SANCHEZ</t>
  </si>
  <si>
    <t>RAFAEL GUTIERREZ CAMARGO</t>
  </si>
  <si>
    <t>AUTOFIN AUTOMOTRIZ</t>
  </si>
  <si>
    <t>MGROUP MAINTENANCE SERVICES</t>
  </si>
  <si>
    <t>LAVA ALFOMBRA PUZZI 8/1</t>
  </si>
  <si>
    <t>GONCALVES DE MEXICO</t>
  </si>
  <si>
    <t>ARTURO BERRUECOS</t>
  </si>
  <si>
    <t>HIDROLAVADORA HD 9/25</t>
  </si>
  <si>
    <t>HIDROLAVADORA K 2 PREMIUM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</si>
  <si>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</si>
  <si>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</si>
  <si>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</si>
  <si>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</si>
  <si>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</si>
  <si>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</si>
  <si>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</si>
  <si>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</si>
  <si>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</si>
  <si>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</si>
  <si>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</si>
  <si>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</si>
  <si>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</si>
  <si>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</si>
  <si>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ventas_usd</t>
  </si>
  <si>
    <t xml:space="preserve">SOLUCIONES ALEMANAS </t>
  </si>
  <si>
    <t>EQUIPOS Y LIMPIEZA</t>
  </si>
  <si>
    <t>Razon Social</t>
  </si>
  <si>
    <t>Modelo</t>
  </si>
  <si>
    <t>SP0000009751</t>
  </si>
  <si>
    <t>CALIDAD EN SISTEMAS DE LIMPIEZA</t>
  </si>
  <si>
    <t>SP0000009752</t>
  </si>
  <si>
    <t>SP0000009753</t>
  </si>
  <si>
    <t>PISO PERIFERICO</t>
  </si>
  <si>
    <t>SP0000009754</t>
  </si>
  <si>
    <t>SP0000009755</t>
  </si>
  <si>
    <t>SP0000009756</t>
  </si>
  <si>
    <t>SP0000009757</t>
  </si>
  <si>
    <t>SP0000009758</t>
  </si>
  <si>
    <t>SP0000009759</t>
  </si>
  <si>
    <t>SP0000009760</t>
  </si>
  <si>
    <t>MARTIN ALVAREZ TORRIJOS</t>
  </si>
  <si>
    <t>SP0000009761</t>
  </si>
  <si>
    <t>SP0000009762</t>
  </si>
  <si>
    <t>SP0000009763</t>
  </si>
  <si>
    <t>LUIS FERNADO ECHEGARAY GUERRERO</t>
  </si>
  <si>
    <t>SP0000009764</t>
  </si>
  <si>
    <t>SP0000009765</t>
  </si>
  <si>
    <t>HERNANDEZ ORTIZ Y GARCIA MONTIEL</t>
  </si>
  <si>
    <t>SP0000009766</t>
  </si>
  <si>
    <t>SP0000009767</t>
  </si>
  <si>
    <t>SP0000009768</t>
  </si>
  <si>
    <t>SP0000009769</t>
  </si>
  <si>
    <t>SP0000009770</t>
  </si>
  <si>
    <t>SP0000009771</t>
  </si>
  <si>
    <t>SP0000009772</t>
  </si>
  <si>
    <t>GRUPO PAPER GREEN</t>
  </si>
  <si>
    <t>SP0000009773</t>
  </si>
  <si>
    <t>NICOLAS HORTA LANDEROS</t>
  </si>
  <si>
    <t>SP0000009774</t>
  </si>
  <si>
    <t>IMPLEMENTACION PRODUCTIVA</t>
  </si>
  <si>
    <t>SP0000009775</t>
  </si>
  <si>
    <t>MARTIN PEDRO BORQUEZ VALENZUELA</t>
  </si>
  <si>
    <t>SP0000009776</t>
  </si>
  <si>
    <t>SP0000009777</t>
  </si>
  <si>
    <t>ATLAS COPCO</t>
  </si>
  <si>
    <t>SP0000009778</t>
  </si>
  <si>
    <t>SP0000009779</t>
  </si>
  <si>
    <t>SP0000009780</t>
  </si>
  <si>
    <t>SP0000009781</t>
  </si>
  <si>
    <t>SP0000009782</t>
  </si>
  <si>
    <t>SP0000009783</t>
  </si>
  <si>
    <t>SP0000009784</t>
  </si>
  <si>
    <t>CONSULTORES Y PROFESIONLES EN LIMPIEZA Y DESINFECCION</t>
  </si>
  <si>
    <t>SP0000009785</t>
  </si>
  <si>
    <t>SP0000009786</t>
  </si>
  <si>
    <t>SERVICIO-REFACCION</t>
  </si>
  <si>
    <t>SP0000009787</t>
  </si>
  <si>
    <t>SP0000009788</t>
  </si>
  <si>
    <t>DIAFRA</t>
  </si>
  <si>
    <t>SP0000009789</t>
  </si>
  <si>
    <t>SP0000009790</t>
  </si>
  <si>
    <t>2- HIDROLAVADORA HDS 12/18</t>
  </si>
  <si>
    <t>SP0000009791</t>
  </si>
  <si>
    <t>SP0000009792</t>
  </si>
  <si>
    <t>LEON FELIPE AGUILAR JIMENEZ</t>
  </si>
  <si>
    <t>SP0000009793</t>
  </si>
  <si>
    <t>SP0000009794</t>
  </si>
  <si>
    <t>SP0000009795</t>
  </si>
  <si>
    <t>DIAJEM ARQUITECTOS ALTO NIVEL</t>
  </si>
  <si>
    <t>SP0000009796</t>
  </si>
  <si>
    <t>UNIVERDIDAD MEXICANA PLANTEL SATELITE</t>
  </si>
  <si>
    <t>SP0000009797</t>
  </si>
  <si>
    <t>DIVAREMEX</t>
  </si>
  <si>
    <t>SP0000009798</t>
  </si>
  <si>
    <t>SP0000009799</t>
  </si>
  <si>
    <t>EL COLEGIO DURANGO</t>
  </si>
  <si>
    <t>SP0000009800</t>
  </si>
  <si>
    <t>SUPERFICIE TERRESTRE</t>
  </si>
  <si>
    <t>SP0000009801</t>
  </si>
  <si>
    <t>RAUK ALEJANDRO SALDAÑA GALLEGOS</t>
  </si>
  <si>
    <t>SP0000009802</t>
  </si>
  <si>
    <t>SP0000009803</t>
  </si>
  <si>
    <t>SP0000009804</t>
  </si>
  <si>
    <t>GUILLERMO HUGO GARRIDO HERNANDEZ</t>
  </si>
  <si>
    <t>SP0000009805</t>
  </si>
  <si>
    <t>SP0000009806</t>
  </si>
  <si>
    <t>REPRESENTACIONES ECOLOGICAS Y AMBIENTALES</t>
  </si>
  <si>
    <t>SP0000009807</t>
  </si>
  <si>
    <t>J V D CONSTRUCTORA E INMOBILIARIA</t>
  </si>
  <si>
    <t>SP0000009808</t>
  </si>
  <si>
    <t>SP0000009809</t>
  </si>
  <si>
    <t>SP0000009810</t>
  </si>
  <si>
    <t>SP0000009811</t>
  </si>
  <si>
    <t>SP0000009812</t>
  </si>
  <si>
    <t>SP0000009813</t>
  </si>
  <si>
    <t>SP0000009814</t>
  </si>
  <si>
    <t>SP0000009815</t>
  </si>
  <si>
    <t>SP0000009816</t>
  </si>
  <si>
    <t>SERGIO AGUILERA</t>
  </si>
  <si>
    <t>2- HIDROLAVADORA HD 4/9</t>
  </si>
  <si>
    <t>SP0000009817</t>
  </si>
  <si>
    <t>GRUPO LA FLORIDA</t>
  </si>
  <si>
    <t>SP0000009818</t>
  </si>
  <si>
    <t>SP0000009819</t>
  </si>
  <si>
    <t>ROBERTO LARRAGA RODIRGUEZ</t>
  </si>
  <si>
    <t>SP0000009820</t>
  </si>
  <si>
    <t>FER  &amp; GRECO</t>
  </si>
  <si>
    <t>SP0000009821</t>
  </si>
  <si>
    <t>CASTILLO MIRANDA Y COMPAÑÍA</t>
  </si>
  <si>
    <t>SP0000009822</t>
  </si>
  <si>
    <t>MODESTO MARTINEZ SANCHEZ</t>
  </si>
  <si>
    <t>SP0000009823</t>
  </si>
  <si>
    <t>FABRICAS DE CALZADO ANDREA</t>
  </si>
  <si>
    <t>SP0000009824</t>
  </si>
  <si>
    <t>SP0000009825</t>
  </si>
  <si>
    <t>TRANSFORMACIONES METALICAS Y MANUFACTURAS</t>
  </si>
  <si>
    <t>SP0000009826</t>
  </si>
  <si>
    <t>SP0000009827</t>
  </si>
  <si>
    <t>SP0000009828</t>
  </si>
  <si>
    <t>SP0000009829</t>
  </si>
  <si>
    <t>SP0000009830</t>
  </si>
  <si>
    <t>VAPORIZADOR SG 4/4</t>
  </si>
  <si>
    <t>SP0000009831</t>
  </si>
  <si>
    <t>SP0000009832</t>
  </si>
  <si>
    <t>SP0000009833</t>
  </si>
  <si>
    <t>TRANSPO TRUCKS MEXICO</t>
  </si>
  <si>
    <t>SP0000009834</t>
  </si>
  <si>
    <t>ERASMO VELASCO VICTORIA</t>
  </si>
  <si>
    <t>SP0000009835</t>
  </si>
  <si>
    <t>SP0000009836</t>
  </si>
  <si>
    <t>SP0000009837</t>
  </si>
  <si>
    <t>SP0000009838</t>
  </si>
  <si>
    <t>SP0000009839</t>
  </si>
  <si>
    <t>SP0000009840</t>
  </si>
  <si>
    <t>SP0000009841</t>
  </si>
  <si>
    <t>SP0000009842</t>
  </si>
  <si>
    <t>ABASTECEDORA MEXICANA AUTOMOTRIZ</t>
  </si>
  <si>
    <t>SP0000009843</t>
  </si>
  <si>
    <t>SP0000009844</t>
  </si>
  <si>
    <t>SP0000009845</t>
  </si>
  <si>
    <t>SP0000009846</t>
  </si>
  <si>
    <t>SP0000009847</t>
  </si>
  <si>
    <t>SP0000009848</t>
  </si>
  <si>
    <t>SP0000009849</t>
  </si>
  <si>
    <t>SP0000009850</t>
  </si>
  <si>
    <t>SP0000009851</t>
  </si>
  <si>
    <t>SP0000009852</t>
  </si>
  <si>
    <t>SP0000009853</t>
  </si>
  <si>
    <t>SP0000009854</t>
  </si>
  <si>
    <t>SP0000009855</t>
  </si>
  <si>
    <t>SP0000009856</t>
  </si>
  <si>
    <t>SP0000009857</t>
  </si>
  <si>
    <t>ARTURO PULIDO ORTEGA</t>
  </si>
  <si>
    <t>SP0000009858</t>
  </si>
  <si>
    <t>SP0000009859</t>
  </si>
  <si>
    <t>SP0000009860</t>
  </si>
  <si>
    <t>SP0000009861</t>
  </si>
  <si>
    <t>SALON DE FIESTAS CENTENARIO</t>
  </si>
  <si>
    <t>SP0000009862</t>
  </si>
  <si>
    <t>PARQUE ARTURO MUNDET</t>
  </si>
  <si>
    <t>SP0000009863</t>
  </si>
  <si>
    <t>SP0000009864</t>
  </si>
  <si>
    <t>CENTRO DEPORTIVO CHAPULTEPEC</t>
  </si>
  <si>
    <t>SP0000009865</t>
  </si>
  <si>
    <t>SP0000009866</t>
  </si>
  <si>
    <t>JUAN MANUEL VAZQUEZ GONZALEZ</t>
  </si>
  <si>
    <t>SP0000009867</t>
  </si>
  <si>
    <t>SP0000009868</t>
  </si>
  <si>
    <t>MIGUEL ROMAN MACIAS</t>
  </si>
  <si>
    <t>SP0000009869</t>
  </si>
  <si>
    <t>ANDREA</t>
  </si>
  <si>
    <t>ESCOBA KB 5</t>
  </si>
  <si>
    <t>SP0000009870</t>
  </si>
  <si>
    <t>MARABU</t>
  </si>
  <si>
    <t>SP0000009871</t>
  </si>
  <si>
    <t>SP0000009872</t>
  </si>
  <si>
    <t>SP0000009873</t>
  </si>
  <si>
    <t>SP0000009874</t>
  </si>
  <si>
    <t>SP0000009875</t>
  </si>
  <si>
    <t>SP0000009876</t>
  </si>
  <si>
    <t>SP0000009877</t>
  </si>
  <si>
    <t>SP0000009878</t>
  </si>
  <si>
    <t>MICHELLE CADENA CHENGE</t>
  </si>
  <si>
    <t>SP0000009879</t>
  </si>
  <si>
    <t>SP0000009880</t>
  </si>
  <si>
    <t>SP0000009881</t>
  </si>
  <si>
    <t>MULTIPLEXIA DIGITAL</t>
  </si>
  <si>
    <t>SP0000009882</t>
  </si>
  <si>
    <t>SP0000009883</t>
  </si>
  <si>
    <t>SP0000009884</t>
  </si>
  <si>
    <t>SP0000009885</t>
  </si>
  <si>
    <t>CLUB ESPAÑA</t>
  </si>
  <si>
    <t>SP0000009886</t>
  </si>
  <si>
    <t>SP0000009887</t>
  </si>
  <si>
    <t>SP0000009888</t>
  </si>
  <si>
    <t>SP0000009889</t>
  </si>
  <si>
    <t>LUIS ALFONSO CUEVAS SALAS</t>
  </si>
  <si>
    <t>SP0000009890</t>
  </si>
  <si>
    <t>HIGH ECHOOL THOMAS JEFERSON</t>
  </si>
  <si>
    <t>SP0000009891</t>
  </si>
  <si>
    <t>OPERADORA AZUETENSE</t>
  </si>
  <si>
    <t>SP0000009892</t>
  </si>
  <si>
    <t>SP0000009893</t>
  </si>
  <si>
    <t>SP0000009894</t>
  </si>
  <si>
    <t>GABRIELA HERNANDEZ NARVAEZ</t>
  </si>
  <si>
    <t>SP0000009895</t>
  </si>
  <si>
    <t>SP0000009896</t>
  </si>
  <si>
    <t>MANTENIMIENTO INDUSTRIAL Y DE TRSNAPORTE RACA</t>
  </si>
  <si>
    <t>SP0000009897</t>
  </si>
  <si>
    <t>ASPIRADORA CVH 2</t>
  </si>
  <si>
    <t>SP0000009898</t>
  </si>
  <si>
    <t>SP0000009899</t>
  </si>
  <si>
    <t>SP0000009900</t>
  </si>
  <si>
    <t>SP0000009901</t>
  </si>
  <si>
    <t>SP0000009902</t>
  </si>
  <si>
    <t>JOSE MANUEL PEREZ MENDOZA</t>
  </si>
  <si>
    <t>ASPIRADORA WD 5</t>
  </si>
  <si>
    <t>SP0000009903</t>
  </si>
  <si>
    <t>SP0000009904</t>
  </si>
  <si>
    <t>SP0000009905</t>
  </si>
  <si>
    <t>SP0000009906</t>
  </si>
  <si>
    <t>SP0000009907</t>
  </si>
  <si>
    <t>RAMIRO ISRAEL PRADO</t>
  </si>
  <si>
    <t>SP0000009908</t>
  </si>
  <si>
    <t>GRUPO FIMIG</t>
  </si>
  <si>
    <t>SP0000009909</t>
  </si>
  <si>
    <t>SP0000009910</t>
  </si>
  <si>
    <t>SP0000009911</t>
  </si>
  <si>
    <t>NOREGAL</t>
  </si>
  <si>
    <t>SP0000009912</t>
  </si>
  <si>
    <t>ORGATEC</t>
  </si>
  <si>
    <t>SP0000009913</t>
  </si>
  <si>
    <t>ABSTECEDORA EL BAMBU</t>
  </si>
  <si>
    <t>SP0000009914</t>
  </si>
  <si>
    <t>SP0000009915</t>
  </si>
  <si>
    <t>SP0000009916</t>
  </si>
  <si>
    <t>EBEN-BINAH 18</t>
  </si>
  <si>
    <t>SP0000009917</t>
  </si>
  <si>
    <t>EDICIONES AGELESTE</t>
  </si>
  <si>
    <t>SP0000009918</t>
  </si>
  <si>
    <t>SP0000009919</t>
  </si>
  <si>
    <t>SP0000009920</t>
  </si>
  <si>
    <t>FIDEICOMISO F/1596</t>
  </si>
  <si>
    <t>SP0000009921</t>
  </si>
  <si>
    <t>SP0000009922</t>
  </si>
  <si>
    <t>FERRE MELO</t>
  </si>
  <si>
    <t>SP0000009923</t>
  </si>
  <si>
    <t>BESSER AUTO PARTES</t>
  </si>
  <si>
    <t>SP0000009924</t>
  </si>
  <si>
    <t>SP0000009925</t>
  </si>
  <si>
    <t>SP0000009926</t>
  </si>
  <si>
    <t>SP0000009927</t>
  </si>
  <si>
    <t xml:space="preserve">CALIDAD EN SISTEMAS DE LIMPIEZA </t>
  </si>
  <si>
    <t>SP0000009928</t>
  </si>
  <si>
    <t>FRIALSA FRIGORIFICOS</t>
  </si>
  <si>
    <t>SP0000009929</t>
  </si>
  <si>
    <t>SP0000009930</t>
  </si>
  <si>
    <t xml:space="preserve">TRADE ELECTRIS &amp; BROS </t>
  </si>
  <si>
    <t>SP0000009931</t>
  </si>
  <si>
    <t>SP0000009932</t>
  </si>
  <si>
    <t>SP0000009933</t>
  </si>
  <si>
    <t>DIAMANTE GRUPO CONSTRUCTORA Y ASOCIADOS</t>
  </si>
  <si>
    <t>SP0000009934</t>
  </si>
  <si>
    <t>SP0000009935</t>
  </si>
  <si>
    <t>SP0000009936</t>
  </si>
  <si>
    <t>SP0000009937</t>
  </si>
  <si>
    <t>SP0000009938</t>
  </si>
  <si>
    <t>SP0000009939</t>
  </si>
  <si>
    <t>SUMINISTROS Y MANTENIMIENTO MIREL</t>
  </si>
  <si>
    <t>SP0000009940</t>
  </si>
  <si>
    <t>SP0000009941</t>
  </si>
  <si>
    <t>SP0000009942</t>
  </si>
  <si>
    <t>PREMEZCLADO EN SITIO</t>
  </si>
  <si>
    <t>SP0000009943</t>
  </si>
  <si>
    <t>INDEFACO</t>
  </si>
  <si>
    <t>SP0000009944</t>
  </si>
  <si>
    <t>CLEANIG SOLUTIONS</t>
  </si>
  <si>
    <t>SP0000009945</t>
  </si>
  <si>
    <t>SP0000009946</t>
  </si>
  <si>
    <t>SP0000009947</t>
  </si>
  <si>
    <t>SP0000009948</t>
  </si>
  <si>
    <t>SP0000009949</t>
  </si>
  <si>
    <t>SP0000009950</t>
  </si>
  <si>
    <t>SP0000009951</t>
  </si>
  <si>
    <t>AUTOMOVILES LOMAS VERDES</t>
  </si>
  <si>
    <t>SP0000009952</t>
  </si>
  <si>
    <t>SP0000009953</t>
  </si>
  <si>
    <t>SP0000009954</t>
  </si>
  <si>
    <t>MANEJO DE CARGA Y SERVICIOS INTEGRALES MACSI</t>
  </si>
  <si>
    <t>SP0000009955</t>
  </si>
  <si>
    <t>SP0000009956</t>
  </si>
  <si>
    <t>SP0000009957</t>
  </si>
  <si>
    <t>SP0000009958</t>
  </si>
  <si>
    <t>SP0000009959</t>
  </si>
  <si>
    <t>SP0000009960</t>
  </si>
  <si>
    <t>SP0000009961</t>
  </si>
  <si>
    <t>SP0000009962</t>
  </si>
  <si>
    <t>MARITIMOS JC</t>
  </si>
  <si>
    <t>SP0000009963</t>
  </si>
  <si>
    <t>SP0000009964</t>
  </si>
  <si>
    <t>SP0000009965</t>
  </si>
  <si>
    <t>SP0000009966</t>
  </si>
  <si>
    <t>SP0000009967</t>
  </si>
  <si>
    <t>SP0000009968</t>
  </si>
  <si>
    <t>SP0000009969</t>
  </si>
  <si>
    <t>ABASTECEDOR TERAPEUTICO</t>
  </si>
  <si>
    <t>SP0000009970</t>
  </si>
  <si>
    <t>NAFI ABASTECIMIENTOS</t>
  </si>
  <si>
    <t>SP0000009971</t>
  </si>
  <si>
    <t>CABLES Y HULES</t>
  </si>
  <si>
    <t>SP0000009972</t>
  </si>
  <si>
    <t>SP0000009973</t>
  </si>
  <si>
    <t>SP0000009974</t>
  </si>
  <si>
    <t>SP0000009975</t>
  </si>
  <si>
    <t>SP0000009976</t>
  </si>
  <si>
    <t>SP0000009977</t>
  </si>
  <si>
    <t>SERGIO MIGUEL AGUILERA BLANCO</t>
  </si>
  <si>
    <t>SP0000009978</t>
  </si>
  <si>
    <t>SP0000009979</t>
  </si>
  <si>
    <t>SP0000009980</t>
  </si>
  <si>
    <t>SP0000009981</t>
  </si>
  <si>
    <t>SP0000009982</t>
  </si>
  <si>
    <t>CRISTOPHER ANDRES OROPEZA PEREZ</t>
  </si>
  <si>
    <t>SP0000009983</t>
  </si>
  <si>
    <t>SP0000009984</t>
  </si>
  <si>
    <t>FRANCISCO LARESGOITI HERNANDEZ</t>
  </si>
  <si>
    <t>SP0000009985</t>
  </si>
  <si>
    <t>GILDARDO CAMPOS BOJORQUEZ</t>
  </si>
  <si>
    <t>SP0000009986</t>
  </si>
  <si>
    <t>CONSTRUCCIONES INTEGRALES OLM</t>
  </si>
  <si>
    <t>SP0000009987</t>
  </si>
  <si>
    <t>SP0000009988</t>
  </si>
  <si>
    <t>SP0000009989</t>
  </si>
  <si>
    <t>SP0000009990</t>
  </si>
  <si>
    <t>SP0000009991</t>
  </si>
  <si>
    <t>SP0000009992</t>
  </si>
  <si>
    <t>SP0000009993</t>
  </si>
  <si>
    <t>SP0000009994</t>
  </si>
  <si>
    <t>SP0000009995</t>
  </si>
  <si>
    <t>SP0000009996</t>
  </si>
  <si>
    <t>SP0000009997</t>
  </si>
  <si>
    <t>SP0000009998</t>
  </si>
  <si>
    <t>ALLDATA</t>
  </si>
  <si>
    <t>SP0000009999</t>
  </si>
  <si>
    <t>SERGIO</t>
  </si>
  <si>
    <t>SP0000010000</t>
  </si>
  <si>
    <t>SP0000010002</t>
  </si>
  <si>
    <t>SP0000010003</t>
  </si>
  <si>
    <t>DEVELOPMENT FACTOR</t>
  </si>
  <si>
    <t>SP0000010004</t>
  </si>
  <si>
    <t>SP0000010005</t>
  </si>
  <si>
    <t>SP0000010006</t>
  </si>
  <si>
    <t>SP0000010007</t>
  </si>
  <si>
    <t>SP0000010008</t>
  </si>
  <si>
    <t>INGENIERIA MEXICANA PROMOTORA DE DESARROLLO</t>
  </si>
  <si>
    <t>SP0000010009</t>
  </si>
  <si>
    <t>FERBEL NORTE</t>
  </si>
  <si>
    <t>SP0000010010</t>
  </si>
  <si>
    <t>SP0000010011</t>
  </si>
  <si>
    <t>ROCIO DEL PRADO MOLINA</t>
  </si>
  <si>
    <t>SP0000010012</t>
  </si>
  <si>
    <t>VICTOR FRANCO DE LOS SANTOS</t>
  </si>
  <si>
    <t>SP0000010013</t>
  </si>
  <si>
    <t>SP0000010014</t>
  </si>
  <si>
    <t>AXIOMA CONSTRUCCIONES</t>
  </si>
  <si>
    <t>SP0000010015</t>
  </si>
  <si>
    <t>SP0000010016</t>
  </si>
  <si>
    <t>SP0000010017</t>
  </si>
  <si>
    <t>SP0000010018</t>
  </si>
  <si>
    <t>SP0000010019</t>
  </si>
  <si>
    <t>SP0000010020</t>
  </si>
  <si>
    <t>SP0000010021</t>
  </si>
  <si>
    <t>FERNANDO LORA FRANCO</t>
  </si>
  <si>
    <t>SP0000010022</t>
  </si>
  <si>
    <t>SP0000010023</t>
  </si>
  <si>
    <t>SP0000010024</t>
  </si>
  <si>
    <t>SP0000010025</t>
  </si>
  <si>
    <t>SP0000010026</t>
  </si>
  <si>
    <t>SP0000010027</t>
  </si>
  <si>
    <t>SP0000010028</t>
  </si>
  <si>
    <t>SP0000010029</t>
  </si>
  <si>
    <t>SP0000010030</t>
  </si>
  <si>
    <t>SP0000010031</t>
  </si>
  <si>
    <t>SP0000010032</t>
  </si>
  <si>
    <t>SP0000010033</t>
  </si>
  <si>
    <t>RENTA DE MAQUINARIA PESADA PIRAMIDE</t>
  </si>
  <si>
    <t>SP0000010034</t>
  </si>
  <si>
    <t>SP0000010035</t>
  </si>
  <si>
    <t>SP0000010036</t>
  </si>
  <si>
    <t>MIGUEL ANGEL GARCIA RUIZ</t>
  </si>
  <si>
    <t>SP0000010037</t>
  </si>
  <si>
    <t>SP0000010038</t>
  </si>
  <si>
    <t>SP0000010039</t>
  </si>
  <si>
    <t>SP0000010040</t>
  </si>
  <si>
    <t>SP0000010041</t>
  </si>
  <si>
    <t>SP0000010042</t>
  </si>
  <si>
    <t>SP0000010043</t>
  </si>
  <si>
    <t>SP0000010044</t>
  </si>
  <si>
    <t>SP0000010045</t>
  </si>
  <si>
    <t>SP0000010046</t>
  </si>
  <si>
    <t>SP0000010047</t>
  </si>
  <si>
    <t>BESSER AUTOPARTES</t>
  </si>
  <si>
    <t>SP0000010048</t>
  </si>
  <si>
    <t>SP0000010049</t>
  </si>
  <si>
    <t>SP0000010050</t>
  </si>
  <si>
    <t>SP0000010051</t>
  </si>
  <si>
    <t>SP0000010052</t>
  </si>
  <si>
    <t>SP0000010053</t>
  </si>
  <si>
    <t>SP0000010054</t>
  </si>
  <si>
    <t>SP0000010055</t>
  </si>
  <si>
    <t>SP0000010056</t>
  </si>
  <si>
    <t>SP0000010057</t>
  </si>
  <si>
    <t>SP0000010058</t>
  </si>
  <si>
    <t>SP0000010059</t>
  </si>
  <si>
    <t>ASPIRADORA VC 3</t>
  </si>
  <si>
    <t>SP0000010060</t>
  </si>
  <si>
    <t>SP0000010061</t>
  </si>
  <si>
    <t>EMBUTIDOS FINOS LOS ANGELES</t>
  </si>
  <si>
    <t>SP0000010062</t>
  </si>
  <si>
    <t>SP0000010063</t>
  </si>
  <si>
    <t>UNIMETAL SOLDADURAS</t>
  </si>
  <si>
    <t>SP0000010064</t>
  </si>
  <si>
    <t>SP0000010065</t>
  </si>
  <si>
    <t>SP0000010066</t>
  </si>
  <si>
    <t>SP0000010067</t>
  </si>
  <si>
    <t>OPERADORA DE COLEDGIOS LA SALLE</t>
  </si>
  <si>
    <t>SP0000010068</t>
  </si>
  <si>
    <t>SP0000010069</t>
  </si>
  <si>
    <t>SP0000010070</t>
  </si>
  <si>
    <t>SP0000010071</t>
  </si>
  <si>
    <t>SP0000010072</t>
  </si>
  <si>
    <t>SP0000010073</t>
  </si>
  <si>
    <t>SP0000010074</t>
  </si>
  <si>
    <t>MODELO EDUCATIVO MORIN</t>
  </si>
  <si>
    <t>RAUL SIERRA</t>
  </si>
  <si>
    <t>SP0000010075</t>
  </si>
  <si>
    <t>MONSERRAT GONZALEZ KARRAS</t>
  </si>
  <si>
    <t>SP0000010076</t>
  </si>
  <si>
    <t>SP0000010077</t>
  </si>
  <si>
    <t>2- LAVA ALFOMBRA BRC 40/22, 1- LAVA ALFOMBRA BRC 30/15, 5 BARREDORAS KM 70/20</t>
  </si>
  <si>
    <t>SP0000010078</t>
  </si>
  <si>
    <t>ABINDESO</t>
  </si>
  <si>
    <t>HIDROLAVADORA HD 7/20G</t>
  </si>
  <si>
    <t>SP0000010079</t>
  </si>
  <si>
    <t>SP0000010080</t>
  </si>
  <si>
    <t>SP0000010081</t>
  </si>
  <si>
    <t>SP0000010082</t>
  </si>
  <si>
    <t>SP0000010083</t>
  </si>
  <si>
    <t>SP0000010084</t>
  </si>
  <si>
    <t>SP0000010085</t>
  </si>
  <si>
    <t>SP0000010086</t>
  </si>
  <si>
    <t>JESUS EDUARDO HERNANDEZ MONDRAGON</t>
  </si>
  <si>
    <t>SP0000010087</t>
  </si>
  <si>
    <t>SOLUCIONES INTEGRALES STREAMAPPS</t>
  </si>
  <si>
    <t>SP0000010088</t>
  </si>
  <si>
    <t>SP0000010089</t>
  </si>
  <si>
    <t>SP0000010090</t>
  </si>
  <si>
    <t>SP0000010091</t>
  </si>
  <si>
    <t>SP0000010092</t>
  </si>
  <si>
    <t>SP0000010093</t>
  </si>
  <si>
    <t>SP0000010094</t>
  </si>
  <si>
    <t>SP0000010095</t>
  </si>
  <si>
    <t>SP0000010096</t>
  </si>
  <si>
    <t>SP0000010097</t>
  </si>
  <si>
    <t>SP0000010098</t>
  </si>
  <si>
    <t>ELSA LORENA PINEDA RINCON</t>
  </si>
  <si>
    <t>SP0000010099</t>
  </si>
  <si>
    <t>SP0000010100</t>
  </si>
  <si>
    <t>SP0000010101</t>
  </si>
  <si>
    <t>SP0000010102</t>
  </si>
  <si>
    <t>SP0000010103</t>
  </si>
  <si>
    <t>MISE INGENIERIA EN ALTA PRESION</t>
  </si>
  <si>
    <t>SP0000010104</t>
  </si>
  <si>
    <t>SP0000010105</t>
  </si>
  <si>
    <t>SP0000010106</t>
  </si>
  <si>
    <t>SP0000010107</t>
  </si>
  <si>
    <t>SP0000010108</t>
  </si>
  <si>
    <t>SP0000010109</t>
  </si>
  <si>
    <t>SP0000010110</t>
  </si>
  <si>
    <t>SP0000010111</t>
  </si>
  <si>
    <t>SP0000010112</t>
  </si>
  <si>
    <t>SP0000010113</t>
  </si>
  <si>
    <t>GILBERTO CHAVEZ CRUZ</t>
  </si>
  <si>
    <t>SP0000010114</t>
  </si>
  <si>
    <t>SP0000010115</t>
  </si>
  <si>
    <t>SP0000010116</t>
  </si>
  <si>
    <t>SP0000010117</t>
  </si>
  <si>
    <t>SP0000010118</t>
  </si>
  <si>
    <t>SP0000010119</t>
  </si>
  <si>
    <t>SP0000010120</t>
  </si>
  <si>
    <t>SP0000010121</t>
  </si>
  <si>
    <t>SP0000010122</t>
  </si>
  <si>
    <t>SP0000010123</t>
  </si>
  <si>
    <t>DAMS GARAGE</t>
  </si>
  <si>
    <t>SP0000010124</t>
  </si>
  <si>
    <t>SP0000010125</t>
  </si>
  <si>
    <t>SP0000010126</t>
  </si>
  <si>
    <t xml:space="preserve">HIDROLAVADORA K 4 </t>
  </si>
  <si>
    <t>SP0000010127</t>
  </si>
  <si>
    <t>SP0000010128</t>
  </si>
  <si>
    <t>SP0000010129</t>
  </si>
  <si>
    <t>LUIS VERGEL VASQUEZ</t>
  </si>
  <si>
    <t>SP0000010130</t>
  </si>
  <si>
    <t>SP0000010131</t>
  </si>
  <si>
    <t>ESCUELA SIERRA NEVADA</t>
  </si>
  <si>
    <t>SP0000010132</t>
  </si>
  <si>
    <t>SP0000010133</t>
  </si>
  <si>
    <t>RAFAEL DE JESUS MENDOZA RAMOS</t>
  </si>
  <si>
    <t>SP0000010134</t>
  </si>
  <si>
    <t>DISTRIBUIDORA NACIONAL DE MOTOCICLETAS</t>
  </si>
  <si>
    <t>SP0000010135</t>
  </si>
  <si>
    <t>SP0000010136</t>
  </si>
  <si>
    <t>HIDROLAVADORA HD 9/15</t>
  </si>
  <si>
    <t>SP0000010137</t>
  </si>
  <si>
    <t>SP0000010138</t>
  </si>
  <si>
    <t xml:space="preserve">ANDREA </t>
  </si>
  <si>
    <t>SP0000010139</t>
  </si>
  <si>
    <t>SP0000010140</t>
  </si>
  <si>
    <t>JONATHAN FERNANDO DE JESUS VALLE GOSCH</t>
  </si>
  <si>
    <t>SP0000010141</t>
  </si>
  <si>
    <t>ENVASES UNIVERSALES</t>
  </si>
  <si>
    <t>2- HIDROLAVADORA HD 6/15</t>
  </si>
  <si>
    <t>SP0000010142</t>
  </si>
  <si>
    <t>SP0000010143</t>
  </si>
  <si>
    <t>SP0000010144</t>
  </si>
  <si>
    <t>SP0000010145</t>
  </si>
  <si>
    <t>SP0000010146</t>
  </si>
  <si>
    <t>ROSA MARIA ROJAS MIRANDA</t>
  </si>
  <si>
    <t>SP0000010147</t>
  </si>
  <si>
    <t>SP0000010148</t>
  </si>
  <si>
    <t>SP0000010149</t>
  </si>
  <si>
    <t>SP0000010150</t>
  </si>
  <si>
    <t>MTC COATINGS DE MEXICO</t>
  </si>
  <si>
    <t>SP0000010151</t>
  </si>
  <si>
    <t>SP0000010152</t>
  </si>
  <si>
    <t>LANNOTTI</t>
  </si>
  <si>
    <t>SP0000010153</t>
  </si>
  <si>
    <t>MARKETEAM MANIA</t>
  </si>
  <si>
    <t>SP0000010154</t>
  </si>
  <si>
    <t>SP0000010155</t>
  </si>
  <si>
    <t>MULTIELECTRICA INDUSTRIAL</t>
  </si>
  <si>
    <t>SP0000010156</t>
  </si>
  <si>
    <t>SP0000010157</t>
  </si>
  <si>
    <t>TECNOSEGUVIP</t>
  </si>
  <si>
    <t>SP0000010158</t>
  </si>
  <si>
    <t>SP0000010159</t>
  </si>
  <si>
    <t>SP0000010160</t>
  </si>
  <si>
    <t>SP0000010161</t>
  </si>
  <si>
    <t>SP0000010162</t>
  </si>
  <si>
    <t>SP0000010163</t>
  </si>
  <si>
    <t>SP0000010164</t>
  </si>
  <si>
    <t>SP0000010165</t>
  </si>
  <si>
    <t>SP0000010166</t>
  </si>
  <si>
    <t>ESCOBA KB5</t>
  </si>
  <si>
    <t>SP0000010167</t>
  </si>
  <si>
    <t>SP0000010168</t>
  </si>
  <si>
    <t>SION SUPPLY</t>
  </si>
  <si>
    <t>SP0000010169</t>
  </si>
  <si>
    <t>INGENIERIA Y PROYECTOS YEETEL</t>
  </si>
  <si>
    <t>SP0000010170</t>
  </si>
  <si>
    <t>SP0000010171</t>
  </si>
  <si>
    <t>JESUS ARVISU ALVARADO</t>
  </si>
  <si>
    <t>SP0000010172</t>
  </si>
  <si>
    <t>SP0000010173</t>
  </si>
  <si>
    <t>REFACCION-REVISION</t>
  </si>
  <si>
    <t>SP0000010174</t>
  </si>
  <si>
    <t>FABIOLA NAVARRO RODRIGUEZ</t>
  </si>
  <si>
    <t>SP0000010175</t>
  </si>
  <si>
    <t>SP0000010176</t>
  </si>
  <si>
    <t>SP0000010177</t>
  </si>
  <si>
    <t>SP0000010178</t>
  </si>
  <si>
    <t>SP0000010179</t>
  </si>
  <si>
    <t>SP0000010180</t>
  </si>
  <si>
    <t>SP0000010181</t>
  </si>
  <si>
    <t>SP0000010182</t>
  </si>
  <si>
    <t>SP0000010183</t>
  </si>
  <si>
    <t>SP0000010184</t>
  </si>
  <si>
    <t>SP0000010185</t>
  </si>
  <si>
    <t>SP0000010186</t>
  </si>
  <si>
    <t>GABRIELA GUZMAN GUZMAN</t>
  </si>
  <si>
    <t>SP0000010187</t>
  </si>
  <si>
    <t>SP0000010188</t>
  </si>
  <si>
    <t>SP0000010189</t>
  </si>
  <si>
    <t>SP0000010190</t>
  </si>
  <si>
    <t>SP0000010191</t>
  </si>
  <si>
    <t>SP0000010192</t>
  </si>
  <si>
    <t>SP0000010193</t>
  </si>
  <si>
    <t>ROGERIO SOLIS LEYVA</t>
  </si>
  <si>
    <t>SP0000010194</t>
  </si>
  <si>
    <t>SP0000010195</t>
  </si>
  <si>
    <t>SP0000010196</t>
  </si>
  <si>
    <t>SP0000010197</t>
  </si>
  <si>
    <t>SP0000010198</t>
  </si>
  <si>
    <t>SP0000010199</t>
  </si>
  <si>
    <t>SP0000010200</t>
  </si>
  <si>
    <t>SP0000010201</t>
  </si>
  <si>
    <t>SP0000010202</t>
  </si>
  <si>
    <t>SP0000010203</t>
  </si>
  <si>
    <t>SP0000010204</t>
  </si>
  <si>
    <t>LACTIALIMENTOS</t>
  </si>
  <si>
    <t>SP0000010205</t>
  </si>
  <si>
    <t>SP0000010206</t>
  </si>
  <si>
    <t>SP0000010207</t>
  </si>
  <si>
    <t>SP0000010208</t>
  </si>
  <si>
    <t>MASTER MOTORS MEXICO</t>
  </si>
  <si>
    <t>ASPIRADORA KWD 3</t>
  </si>
  <si>
    <t>SP0000010209</t>
  </si>
  <si>
    <t>TERMOPLASTICOS VEC</t>
  </si>
  <si>
    <t>SP0000010210</t>
  </si>
  <si>
    <t>SP0000010211</t>
  </si>
  <si>
    <t>SP0000010212</t>
  </si>
  <si>
    <t>ALEJANDRO GARCIA LOPEZ</t>
  </si>
  <si>
    <t>SP0000010213</t>
  </si>
  <si>
    <t>SP0000010214</t>
  </si>
  <si>
    <t>SP0000010215</t>
  </si>
  <si>
    <t>SP0000010216</t>
  </si>
  <si>
    <t>JESUS HUERTA ORTIZ</t>
  </si>
  <si>
    <t>SP0000010217</t>
  </si>
  <si>
    <t>SP0000010218</t>
  </si>
  <si>
    <t>SP0000010219</t>
  </si>
  <si>
    <t>DISTRIBUIDORA Y COMERCIALIZADORA BAU</t>
  </si>
  <si>
    <t>SP0000010220</t>
  </si>
  <si>
    <t>CENTAURO ASS</t>
  </si>
  <si>
    <t>SP0000010221</t>
  </si>
  <si>
    <t>SP0000010222</t>
  </si>
  <si>
    <t>ROSARIO IRAIS GONZALEZ GALINDO</t>
  </si>
  <si>
    <t>SP0000010223</t>
  </si>
  <si>
    <t>SP0000010224</t>
  </si>
  <si>
    <t>NUTRYPLUS</t>
  </si>
  <si>
    <t>SP0000010225</t>
  </si>
  <si>
    <t xml:space="preserve">LAVA ALFOMBRA PUZZI 8/1, ASPIRADORA WD2 PLUS, ASPIRADORA WD 1 </t>
  </si>
  <si>
    <t>SP0000010226</t>
  </si>
  <si>
    <t>REFACCION-MANO DE OBRA</t>
  </si>
  <si>
    <t>SP0000010227</t>
  </si>
  <si>
    <t>SP0000010228</t>
  </si>
  <si>
    <t>SP0000010229</t>
  </si>
  <si>
    <t>SP0000010230</t>
  </si>
  <si>
    <t>SP0000010231</t>
  </si>
  <si>
    <t>SP0000010232</t>
  </si>
  <si>
    <t>HIDROLAVADORA HD 9/15 G</t>
  </si>
  <si>
    <t>SP0000010233</t>
  </si>
  <si>
    <t>SP0000010234</t>
  </si>
  <si>
    <t>SP0000010235</t>
  </si>
  <si>
    <t>SP0000010236</t>
  </si>
  <si>
    <t>SP0000010237</t>
  </si>
  <si>
    <t>SP0000010238</t>
  </si>
  <si>
    <t>SP0000010239</t>
  </si>
  <si>
    <t>SP0000010240</t>
  </si>
  <si>
    <t>CAPTURACARBONO</t>
  </si>
  <si>
    <t>SP0000010241</t>
  </si>
  <si>
    <t>SP0000010242</t>
  </si>
  <si>
    <t>SP0000010243</t>
  </si>
  <si>
    <t>SP0000010244</t>
  </si>
  <si>
    <t>SP0000010245</t>
  </si>
  <si>
    <t>SP0000010246</t>
  </si>
  <si>
    <t>SP0000010247</t>
  </si>
  <si>
    <t>SP0000010248</t>
  </si>
  <si>
    <t>SP0000010249</t>
  </si>
  <si>
    <t>SP0000010250</t>
  </si>
  <si>
    <t>SP0000010251</t>
  </si>
  <si>
    <t>SP0000010252</t>
  </si>
  <si>
    <t>JOSE SERAFIN VALVERDE VALENCIA</t>
  </si>
  <si>
    <t>SP0000010253</t>
  </si>
  <si>
    <t>AUTOS PRO AMERICAS UNIDAS</t>
  </si>
  <si>
    <t>SP0000010254</t>
  </si>
  <si>
    <t>AGERTRON</t>
  </si>
  <si>
    <t>SP0000010255</t>
  </si>
  <si>
    <t>SP0000010256</t>
  </si>
  <si>
    <t>SP0000010257</t>
  </si>
  <si>
    <t>SP0000010258</t>
  </si>
  <si>
    <t>SP0000010259</t>
  </si>
  <si>
    <t>SP0000010260</t>
  </si>
  <si>
    <t>SP0000010261</t>
  </si>
  <si>
    <t>SP0000010262</t>
  </si>
  <si>
    <t>SP0000010263</t>
  </si>
  <si>
    <t>SP0000010264</t>
  </si>
  <si>
    <t>SP0000010265</t>
  </si>
  <si>
    <t>SP0000010266</t>
  </si>
  <si>
    <t>SP0000010267</t>
  </si>
  <si>
    <t>SP0000010268</t>
  </si>
  <si>
    <t>SP0000010269</t>
  </si>
  <si>
    <t>SP0000010270</t>
  </si>
  <si>
    <t>SP0000010271</t>
  </si>
  <si>
    <t>SP0000010272</t>
  </si>
  <si>
    <t>SP0000010273</t>
  </si>
  <si>
    <t>ASPIRADORA RCV 1</t>
  </si>
  <si>
    <t>SP0000010274</t>
  </si>
  <si>
    <t>SP0000010275</t>
  </si>
  <si>
    <t>SP0000010276</t>
  </si>
  <si>
    <t xml:space="preserve">ASOCIACION DE CONDOMINOS CERRADA DE LA </t>
  </si>
  <si>
    <t>SP0000010277</t>
  </si>
  <si>
    <t>SP0000010278</t>
  </si>
  <si>
    <t>SP0000010279</t>
  </si>
  <si>
    <t>SP0000010280</t>
  </si>
  <si>
    <t>SP0000010281</t>
  </si>
  <si>
    <t>SP0000010282</t>
  </si>
  <si>
    <t>SP0000010283</t>
  </si>
  <si>
    <t>COMERCIALIZADORA DE LLANTAS INDUSTRIALES</t>
  </si>
  <si>
    <t>SP0000010284</t>
  </si>
  <si>
    <t>SP0000010285</t>
  </si>
  <si>
    <t>SP0000010286</t>
  </si>
  <si>
    <t>SP0000010287</t>
  </si>
  <si>
    <t>BLOX SERVICE</t>
  </si>
  <si>
    <t>SP0000010288</t>
  </si>
  <si>
    <t>SP0000010289</t>
  </si>
  <si>
    <t>SP0000010290</t>
  </si>
  <si>
    <t>SP0000010291</t>
  </si>
  <si>
    <t>SP0000010292</t>
  </si>
  <si>
    <t>SP0000010293</t>
  </si>
  <si>
    <t>SP0000010294</t>
  </si>
  <si>
    <t>SP0000010295</t>
  </si>
  <si>
    <t>SP0000010296</t>
  </si>
  <si>
    <t>SP0000010297</t>
  </si>
  <si>
    <t>SP0000010298</t>
  </si>
  <si>
    <t>SP0000010299</t>
  </si>
  <si>
    <t>SP0000010300</t>
  </si>
  <si>
    <t>SP0000010301</t>
  </si>
  <si>
    <t>SP0000010302</t>
  </si>
  <si>
    <t>CATALINA AVALOS SILVA</t>
  </si>
  <si>
    <t>SP0000010303</t>
  </si>
  <si>
    <t>SP0000010304</t>
  </si>
  <si>
    <t>SP0000010305</t>
  </si>
  <si>
    <t>CHRISTIAN GUILLERMO VAZQUEZ GONZALEZ</t>
  </si>
  <si>
    <t>SP0000010306</t>
  </si>
  <si>
    <t>SP0000010307</t>
  </si>
  <si>
    <t>SP0000010308</t>
  </si>
  <si>
    <t>SP0000010309</t>
  </si>
  <si>
    <t>SP0000010310</t>
  </si>
  <si>
    <t>SP0000010311</t>
  </si>
  <si>
    <t>SP0000010312</t>
  </si>
  <si>
    <t>SP0000010313</t>
  </si>
  <si>
    <t>SP0000010314</t>
  </si>
  <si>
    <t>SP0000010315</t>
  </si>
  <si>
    <t>SP0000010316</t>
  </si>
  <si>
    <t>SP0000010317</t>
  </si>
  <si>
    <t>SP0000010318</t>
  </si>
  <si>
    <t>SP0000010319</t>
  </si>
  <si>
    <t>SP0000010320</t>
  </si>
  <si>
    <t>SP0000010321</t>
  </si>
  <si>
    <t>SP0000010322</t>
  </si>
  <si>
    <t>SP0000010323</t>
  </si>
  <si>
    <t>SP0000010324</t>
  </si>
  <si>
    <t>SP0000010325</t>
  </si>
  <si>
    <t>ENVASES INIVERSALES DE MEXICO</t>
  </si>
  <si>
    <t>SP0000010326</t>
  </si>
  <si>
    <t>SP0000010327</t>
  </si>
  <si>
    <t>SP0000010328</t>
  </si>
  <si>
    <t>CRISTINA MARIANO ALANIS</t>
  </si>
  <si>
    <t>SP0000010329</t>
  </si>
  <si>
    <t>SP0000010330</t>
  </si>
  <si>
    <t>SP0000010331</t>
  </si>
  <si>
    <t>SP0000010332</t>
  </si>
  <si>
    <t>SP0000010333</t>
  </si>
  <si>
    <t>GERARDO RANGEL GARCIA</t>
  </si>
  <si>
    <t>SP0000010334</t>
  </si>
  <si>
    <t>SP0000010335</t>
  </si>
  <si>
    <t>TRYP EDUCATION</t>
  </si>
  <si>
    <t>SP0000010336</t>
  </si>
  <si>
    <t>DAVID BARCENAS VAZQUEZ</t>
  </si>
  <si>
    <t>SP0000010337</t>
  </si>
  <si>
    <t>SP0000010338</t>
  </si>
  <si>
    <t>MECANO RACKS</t>
  </si>
  <si>
    <t>SP0000010339</t>
  </si>
  <si>
    <t>SP0000010340</t>
  </si>
  <si>
    <t>SP0000010341</t>
  </si>
  <si>
    <t>ALIMENTOS SUSALIA</t>
  </si>
  <si>
    <t>SP0000010342</t>
  </si>
  <si>
    <t>SP0000010343</t>
  </si>
  <si>
    <t>BLANCA ALBA CASTILLO</t>
  </si>
  <si>
    <t>SP0000010344</t>
  </si>
  <si>
    <t>SP0000010345</t>
  </si>
  <si>
    <t>SP0000010346</t>
  </si>
  <si>
    <t>SP0000010347</t>
  </si>
  <si>
    <t>OLGA ISABEL MORETT GONZALEZ</t>
  </si>
  <si>
    <t>SP0000010348</t>
  </si>
  <si>
    <t>SP0000010349</t>
  </si>
  <si>
    <t>SP0000010350</t>
  </si>
  <si>
    <t>SP0000010351</t>
  </si>
  <si>
    <t>DISEÑO Y SELECCIÓN ALTVAF</t>
  </si>
  <si>
    <t>SP0000010352</t>
  </si>
  <si>
    <t>SP0000010353</t>
  </si>
  <si>
    <t>CAMARA NACIONAL DE LA INDUSTRIA</t>
  </si>
  <si>
    <t>SP0000010354</t>
  </si>
  <si>
    <t>OSCAR GENARO MARTINEZ SEANEZ</t>
  </si>
  <si>
    <t>SP0000010355</t>
  </si>
  <si>
    <t>SP0000010356</t>
  </si>
  <si>
    <t>SP0000010357</t>
  </si>
  <si>
    <t>SP0000010358</t>
  </si>
  <si>
    <t>SP0000010359</t>
  </si>
  <si>
    <t>SP0000010360</t>
  </si>
  <si>
    <t xml:space="preserve">MANEJO DE ACTIVOS </t>
  </si>
  <si>
    <t>SP0000010361</t>
  </si>
  <si>
    <t>SP0000010362</t>
  </si>
  <si>
    <t>SP0000010363</t>
  </si>
  <si>
    <t>SIEMPRE CUIDADOS DE SALUD MEXICO</t>
  </si>
  <si>
    <t>SP0000010364</t>
  </si>
  <si>
    <t>ARRENDOMOVIL DE MEXICO</t>
  </si>
  <si>
    <t>SP0000010365</t>
  </si>
  <si>
    <t>CIMARRON SMART BISINESS</t>
  </si>
  <si>
    <t>SP0000010366</t>
  </si>
  <si>
    <t>ASPIRADORA NT 40/1</t>
  </si>
  <si>
    <t>SP0000010367</t>
  </si>
  <si>
    <t>SP0000010368</t>
  </si>
  <si>
    <t>SP0000010369</t>
  </si>
  <si>
    <t>SP0000010370</t>
  </si>
  <si>
    <t>SP0000010371</t>
  </si>
  <si>
    <t>SP0000010372</t>
  </si>
  <si>
    <t>SP0000010373</t>
  </si>
  <si>
    <t>SP0000010374</t>
  </si>
  <si>
    <t>SP0000010375</t>
  </si>
  <si>
    <t>SP0000010376</t>
  </si>
  <si>
    <t>SP0000010377</t>
  </si>
  <si>
    <t>SP0000010378</t>
  </si>
  <si>
    <t>SP0000010379</t>
  </si>
  <si>
    <t>SP0000010380</t>
  </si>
  <si>
    <t>SP0000010381</t>
  </si>
  <si>
    <t>TACTIQ SUPPLY</t>
  </si>
  <si>
    <t>SP0000010382</t>
  </si>
  <si>
    <t>SP0000010383</t>
  </si>
  <si>
    <t>SP0000010384</t>
  </si>
  <si>
    <t>SP0000010385</t>
  </si>
  <si>
    <t>SP0000010386</t>
  </si>
  <si>
    <t>SP0000010387</t>
  </si>
  <si>
    <t>FURIA MOTORS MEXICO</t>
  </si>
  <si>
    <t>2- HIDROLAVADORA K 4 PREMIUM</t>
  </si>
  <si>
    <t>SP0000010388</t>
  </si>
  <si>
    <t>SP0000010389</t>
  </si>
  <si>
    <t>SP0000010390</t>
  </si>
  <si>
    <t>AGUA &amp; ENERGIS EN MOVIMIENTO</t>
  </si>
  <si>
    <t>SP0000010391</t>
  </si>
  <si>
    <t>SP0000010392</t>
  </si>
  <si>
    <t>VAPORIZADOR SC 2</t>
  </si>
  <si>
    <t>SP0000010393</t>
  </si>
  <si>
    <t>SP0000010394</t>
  </si>
  <si>
    <t>SP0000010395</t>
  </si>
  <si>
    <t>SP0000010396</t>
  </si>
  <si>
    <t>SP0000010397</t>
  </si>
  <si>
    <t>SP0000010398</t>
  </si>
  <si>
    <t>ANTONIO CATALAN DIAZ</t>
  </si>
  <si>
    <t>SP0000010399</t>
  </si>
  <si>
    <t>JERONIMO VICTOR SANTIAGO MARTINEZ</t>
  </si>
  <si>
    <t>SP0000010400</t>
  </si>
  <si>
    <t>SP0000010401</t>
  </si>
  <si>
    <t>SP0000010402</t>
  </si>
  <si>
    <t>SP0000010403</t>
  </si>
  <si>
    <t>ROMAY OLVERA ELIZALDE</t>
  </si>
  <si>
    <t>SP0000010404</t>
  </si>
  <si>
    <t>SP0000010405</t>
  </si>
  <si>
    <t>SP0000010406</t>
  </si>
  <si>
    <t>SP0000010407</t>
  </si>
  <si>
    <t>SP0000010408</t>
  </si>
  <si>
    <t>SP0000010409</t>
  </si>
  <si>
    <t>SP0000010410</t>
  </si>
  <si>
    <t>SP0000010411</t>
  </si>
  <si>
    <t xml:space="preserve">GERARDO RODRIGO ACEVEDO AAREGUIN </t>
  </si>
  <si>
    <t>SP0000010412</t>
  </si>
  <si>
    <t>ACEROS Y METALES LA DIVINA</t>
  </si>
  <si>
    <t>SP0000010413</t>
  </si>
  <si>
    <t>SP0000010414</t>
  </si>
  <si>
    <t>SP0000010415</t>
  </si>
  <si>
    <t>SP0000010416</t>
  </si>
  <si>
    <t>SP0000010417</t>
  </si>
  <si>
    <t>ASOCIACION DE CONDOMINOS OLIVO 114</t>
  </si>
  <si>
    <t>OMESE</t>
  </si>
  <si>
    <t>&lt;02/01/2024</t>
  </si>
  <si>
    <t>Etiquetas de columna</t>
  </si>
  <si>
    <t>SP0000010418</t>
  </si>
  <si>
    <t>SP0000010419</t>
  </si>
  <si>
    <t>SP0000010420</t>
  </si>
  <si>
    <t xml:space="preserve">PISO </t>
  </si>
  <si>
    <t>SP0000010421</t>
  </si>
  <si>
    <t>SP0000010422</t>
  </si>
  <si>
    <t>SP0000010423</t>
  </si>
  <si>
    <t>DISTRIBUIDORA Y MAQUILADORA DE VIDRIO DIMASA</t>
  </si>
  <si>
    <t>K 2 INDUCTION</t>
  </si>
  <si>
    <t>SP0000010424</t>
  </si>
  <si>
    <t>SP0000010425</t>
  </si>
  <si>
    <t xml:space="preserve">INTERNO </t>
  </si>
  <si>
    <t>SP0000010426</t>
  </si>
  <si>
    <t>FUERZA Y CLIMA</t>
  </si>
  <si>
    <t>PRO HD 400</t>
  </si>
  <si>
    <t>SP0000010427</t>
  </si>
  <si>
    <t>SP0000010428</t>
  </si>
  <si>
    <t>SP0000010429</t>
  </si>
  <si>
    <t>SP0000010430</t>
  </si>
  <si>
    <t>SP0000010431</t>
  </si>
  <si>
    <t>PROVEEDORA ESPECIALIZADA EN REFRIGERACION</t>
  </si>
  <si>
    <t>SP0000010432</t>
  </si>
  <si>
    <t>ELICARGA</t>
  </si>
  <si>
    <t>ANDRES LOPEZ</t>
  </si>
  <si>
    <t>HD 10/25</t>
  </si>
  <si>
    <t>SP0000010433</t>
  </si>
  <si>
    <t>SP0000010434</t>
  </si>
  <si>
    <t>SP0000010435</t>
  </si>
  <si>
    <t>SP0000010436</t>
  </si>
  <si>
    <t>SP0000010437</t>
  </si>
  <si>
    <t>SP0000010438</t>
  </si>
  <si>
    <t>HD 4/9 C</t>
  </si>
  <si>
    <t>SP0000010439</t>
  </si>
  <si>
    <t>SP0000010440</t>
  </si>
  <si>
    <t>SP0000010441</t>
  </si>
  <si>
    <t>SP0000010442</t>
  </si>
  <si>
    <t>SP0000010443</t>
  </si>
  <si>
    <t>SP0000010444</t>
  </si>
  <si>
    <t>HD 6/15 G</t>
  </si>
  <si>
    <t>SP0000010445</t>
  </si>
  <si>
    <t>SP0000010446</t>
  </si>
  <si>
    <t>SP0000010447</t>
  </si>
  <si>
    <t>SP0000010448</t>
  </si>
  <si>
    <t>PULIDORA</t>
  </si>
  <si>
    <t>SP0000010449</t>
  </si>
  <si>
    <t>SP0000010450</t>
  </si>
  <si>
    <t>SP0000010451</t>
  </si>
  <si>
    <t>SP0000010452</t>
  </si>
  <si>
    <t>SP0000010453</t>
  </si>
  <si>
    <t>SP0000010454</t>
  </si>
  <si>
    <t>SP0000010455</t>
  </si>
  <si>
    <t>SP0000010456</t>
  </si>
  <si>
    <t>SP0000010457</t>
  </si>
  <si>
    <t>SP0000010458</t>
  </si>
  <si>
    <t>SP0000010459</t>
  </si>
  <si>
    <t>SP0000010460</t>
  </si>
  <si>
    <t xml:space="preserve">VENTA MOSTRADOR </t>
  </si>
  <si>
    <t>SP0000010461</t>
  </si>
  <si>
    <t>METALINDUSTRIA CORP &amp; INNOVACION</t>
  </si>
  <si>
    <t>SP0000010462</t>
  </si>
  <si>
    <t>SP0000010463</t>
  </si>
  <si>
    <t>SP0000010464</t>
  </si>
  <si>
    <t>SP0000010465</t>
  </si>
  <si>
    <t>SP0000010466</t>
  </si>
  <si>
    <t>SP0000010467</t>
  </si>
  <si>
    <t>SP0000010468</t>
  </si>
  <si>
    <t>SP0000010469</t>
  </si>
  <si>
    <t>SP0000010470</t>
  </si>
  <si>
    <t>CLUB LOMAS VERDES</t>
  </si>
  <si>
    <t>SP0000010471</t>
  </si>
  <si>
    <t>SP0000010472</t>
  </si>
  <si>
    <t>SP0000010473</t>
  </si>
  <si>
    <t>OPERADORA DE HOTELES CRUZ AZUL</t>
  </si>
  <si>
    <t>SP0000010474</t>
  </si>
  <si>
    <t>SP0000010475</t>
  </si>
  <si>
    <t>SP0000010476</t>
  </si>
  <si>
    <t>SP0000010477</t>
  </si>
  <si>
    <t>SP0000010478</t>
  </si>
  <si>
    <t>TRANE</t>
  </si>
  <si>
    <t>SP0000010479</t>
  </si>
  <si>
    <t>SP0000010480</t>
  </si>
  <si>
    <t>SP0000010481</t>
  </si>
  <si>
    <t>SP0000010482</t>
  </si>
  <si>
    <t>SERVICIO MAPEDI</t>
  </si>
  <si>
    <t>SP0000010483</t>
  </si>
  <si>
    <t>SP0000010484</t>
  </si>
  <si>
    <t>SP0000010485</t>
  </si>
  <si>
    <t>SP0000010486</t>
  </si>
  <si>
    <t>K 2</t>
  </si>
  <si>
    <t>SP0000010487</t>
  </si>
  <si>
    <t>VANGUARDIA EDUCATIVA ODONTOLOGICA LH</t>
  </si>
  <si>
    <t>SP0000010488</t>
  </si>
  <si>
    <t>SP0000010489</t>
  </si>
  <si>
    <t>SP0000010490</t>
  </si>
  <si>
    <t>SP0000010491</t>
  </si>
  <si>
    <t>B 110 R</t>
  </si>
  <si>
    <t>SP0000010492</t>
  </si>
  <si>
    <t>TAO MAQUIRIA</t>
  </si>
  <si>
    <t>G2600</t>
  </si>
  <si>
    <t>SP0000010493</t>
  </si>
  <si>
    <t>1-HD 585, 2-KM 70/20</t>
  </si>
  <si>
    <t>SP0000010494</t>
  </si>
  <si>
    <t>3-BDS 51/175</t>
  </si>
  <si>
    <t>SP0000010495</t>
  </si>
  <si>
    <t>AB 84</t>
  </si>
  <si>
    <t>SP0000010496</t>
  </si>
  <si>
    <t>SP0000010497</t>
  </si>
  <si>
    <t>SP0000010498</t>
  </si>
  <si>
    <t>SP0000010499</t>
  </si>
  <si>
    <t>BISNESS CDMX</t>
  </si>
  <si>
    <t>SP0000010500</t>
  </si>
  <si>
    <t>JANNETTE GUADALUPE TOVAR AGUILAR</t>
  </si>
  <si>
    <t>K 4 CAR</t>
  </si>
  <si>
    <t>SP0000010501</t>
  </si>
  <si>
    <t>OPERADORA DE COLEGIOS LA SALLE</t>
  </si>
  <si>
    <t>SP0000010502</t>
  </si>
  <si>
    <t>SP0000010503</t>
  </si>
  <si>
    <t>SP0000010504</t>
  </si>
  <si>
    <t>8-HD 585, 7-BDS 51/175</t>
  </si>
  <si>
    <t>SP0000010505</t>
  </si>
  <si>
    <t>SP0000010506</t>
  </si>
  <si>
    <t>SP0000010507</t>
  </si>
  <si>
    <t>SC 3</t>
  </si>
  <si>
    <t>SP0000010508</t>
  </si>
  <si>
    <t>B 150 R</t>
  </si>
  <si>
    <t>SP0000010509</t>
  </si>
  <si>
    <t>JORGE ALEJANDRO REBOLLAR GONZALEZ</t>
  </si>
  <si>
    <t>SP0000010510</t>
  </si>
  <si>
    <t>SP0000010511</t>
  </si>
  <si>
    <t>SP0000010512</t>
  </si>
  <si>
    <t>LOMAS COUNTRY</t>
  </si>
  <si>
    <t>SP0000010513</t>
  </si>
  <si>
    <t>EQUILAN</t>
  </si>
  <si>
    <t>SP0000010514</t>
  </si>
  <si>
    <t>SP0000010515</t>
  </si>
  <si>
    <t>SEVICIOS CORPORATIVOS Y RESIDENCIALES</t>
  </si>
  <si>
    <t>SP0000010516</t>
  </si>
  <si>
    <t>SP0000010517</t>
  </si>
  <si>
    <t>LUIS TELLEZ CAMPOS</t>
  </si>
  <si>
    <t>SP0000010518</t>
  </si>
  <si>
    <t>VENTA MOSTRADOR/</t>
  </si>
  <si>
    <t>SP0000010519</t>
  </si>
  <si>
    <t>LAMINADOS FACARLYTE</t>
  </si>
  <si>
    <t>SP0000010520</t>
  </si>
  <si>
    <t>SP0000010521</t>
  </si>
  <si>
    <t>SP0000010522</t>
  </si>
  <si>
    <t>SP0000010523</t>
  </si>
  <si>
    <t>FRANCISCO MARES GUTIERREZ</t>
  </si>
  <si>
    <t>SP0000010524</t>
  </si>
  <si>
    <t>SP0000010525</t>
  </si>
  <si>
    <t>SP0000010526</t>
  </si>
  <si>
    <t>SPORTIBICI</t>
  </si>
  <si>
    <t>SP0000010527</t>
  </si>
  <si>
    <t>SP0000010528</t>
  </si>
  <si>
    <t>SP0000010529</t>
  </si>
  <si>
    <t>SP0000010530</t>
  </si>
  <si>
    <t>PISOS INDUSTRIALES Y MANTENIMIENTOS EN GENERAL</t>
  </si>
  <si>
    <t>SP0000010531</t>
  </si>
  <si>
    <t xml:space="preserve">LOMAS COUNTRY </t>
  </si>
  <si>
    <t>SP0000010532</t>
  </si>
  <si>
    <t>SP0000010533</t>
  </si>
  <si>
    <t>SP0000010534</t>
  </si>
  <si>
    <t>SP0000010535</t>
  </si>
  <si>
    <t>EDUARDO ALCANTARA LOPEZ</t>
  </si>
  <si>
    <t>SP0000010536</t>
  </si>
  <si>
    <t>SP0000010537</t>
  </si>
  <si>
    <t>SP0000010538</t>
  </si>
  <si>
    <t>SP0000010539</t>
  </si>
  <si>
    <t>SP0000010540</t>
  </si>
  <si>
    <t>EQUIPOS Y HERRAMIENTAS PARA LA INDUSTRIA</t>
  </si>
  <si>
    <t>HIDROLAVADORA HD PRO 400</t>
  </si>
  <si>
    <t>SP0000010541</t>
  </si>
  <si>
    <t>NEUMATICOS MUEVETIERRA</t>
  </si>
  <si>
    <t>SP0000010542</t>
  </si>
  <si>
    <t>SP0000010543</t>
  </si>
  <si>
    <t>PARAFINAS SAN FELIPE</t>
  </si>
  <si>
    <t>SP0000010544</t>
  </si>
  <si>
    <t>NOE MONTENEGRO MAYA</t>
  </si>
  <si>
    <t>SP0000010545</t>
  </si>
  <si>
    <t>SP0000010546</t>
  </si>
  <si>
    <t>SP0000010547</t>
  </si>
  <si>
    <t>SP0000010548</t>
  </si>
  <si>
    <t>SP0000010549</t>
  </si>
  <si>
    <t>SP0000010550</t>
  </si>
  <si>
    <t>SP0000010551</t>
  </si>
  <si>
    <t>PROMOTORA DE DESARROLLOS E INGENIERIA</t>
  </si>
  <si>
    <t>SP0000010552</t>
  </si>
  <si>
    <t>SP0000010553</t>
  </si>
  <si>
    <t>SP0000010554</t>
  </si>
  <si>
    <t>SP0000010555</t>
  </si>
  <si>
    <t>2-FREGADORA BD 70/75 W</t>
  </si>
  <si>
    <t>SP0000010556</t>
  </si>
  <si>
    <t>SP0000010557</t>
  </si>
  <si>
    <t>SP0000010558</t>
  </si>
  <si>
    <t>ANTONIA ELVIA RIVERA GARCIA</t>
  </si>
  <si>
    <t>SP0000010559</t>
  </si>
  <si>
    <t>SP0000010560</t>
  </si>
  <si>
    <t>PASION MOTORS HIDALGO</t>
  </si>
  <si>
    <t>ASPIRADORA NT 70/2</t>
  </si>
  <si>
    <t>SP0000010561</t>
  </si>
  <si>
    <t>AUTOS ELEGANTES PACHUCA</t>
  </si>
  <si>
    <t>HIDROLADORA HD 6/15</t>
  </si>
  <si>
    <t>SP0000010562</t>
  </si>
  <si>
    <t>SP0000010563</t>
  </si>
  <si>
    <t>MARCO ANTONIO SANCHEZ OLMEDO</t>
  </si>
  <si>
    <t>SP0000010564</t>
  </si>
  <si>
    <t>SP0000010565</t>
  </si>
  <si>
    <t>SP0000010566</t>
  </si>
  <si>
    <t>SP0000010567</t>
  </si>
  <si>
    <t>MARIA VICTORIA MARTINEZ ORTEGA</t>
  </si>
  <si>
    <t>SP0000010568</t>
  </si>
  <si>
    <t>SP0000010569</t>
  </si>
  <si>
    <t>LAVA ALFOMBRAS PUZZI 8/1</t>
  </si>
  <si>
    <t>SP0000010570</t>
  </si>
  <si>
    <t>SP0000010571</t>
  </si>
  <si>
    <t>CRESTA DEL VALLE</t>
  </si>
  <si>
    <t>SP0000010572</t>
  </si>
  <si>
    <t>REC 21</t>
  </si>
  <si>
    <t>SP0000010573</t>
  </si>
  <si>
    <t>GUSTAVO MICHEL CALDERON AGUILAR</t>
  </si>
  <si>
    <t>SP0000010574</t>
  </si>
  <si>
    <t>MATGON</t>
  </si>
  <si>
    <t>SP0000010575</t>
  </si>
  <si>
    <t>SP0000010576</t>
  </si>
  <si>
    <t xml:space="preserve">EQUIPOS Y LIMPIEZA DE ALTO NIVEL </t>
  </si>
  <si>
    <t>SP0000010577</t>
  </si>
  <si>
    <t>ASPIRADORA WD3</t>
  </si>
  <si>
    <t>SP0000010578</t>
  </si>
  <si>
    <t>SP0000010579</t>
  </si>
  <si>
    <t>TAO MAQUINARIA</t>
  </si>
  <si>
    <t>SP0000010580</t>
  </si>
  <si>
    <t>PROYECTA Y ALINEA SERVICIOS INTEGRALES</t>
  </si>
  <si>
    <t>FREGADORA BD 43/25</t>
  </si>
  <si>
    <t>SP0000010581</t>
  </si>
  <si>
    <t>SP0000010582</t>
  </si>
  <si>
    <t>EQUIPO HOME&amp;GARDEN/QUIMICO</t>
  </si>
  <si>
    <t>HIDROLAVADORAK2 INDUCTION</t>
  </si>
  <si>
    <t>SP0000010583</t>
  </si>
  <si>
    <t>SP0000010584</t>
  </si>
  <si>
    <t>SP0000010585</t>
  </si>
  <si>
    <t>JOSE LUIS GONZALEZ SIMON</t>
  </si>
  <si>
    <t>ASPIRADORA WD1</t>
  </si>
  <si>
    <t>SP0000010586</t>
  </si>
  <si>
    <t>SP0000010587</t>
  </si>
  <si>
    <t>SP0000010588</t>
  </si>
  <si>
    <t>SP0000010589</t>
  </si>
  <si>
    <t>SP0000010590</t>
  </si>
  <si>
    <t>SP0000010591</t>
  </si>
  <si>
    <t>ALBERTO JORGE OLMOS REYES</t>
  </si>
  <si>
    <t>SP0000010592</t>
  </si>
  <si>
    <t>SP0000010593</t>
  </si>
  <si>
    <t>SP0000010594</t>
  </si>
  <si>
    <t>SP0000010595</t>
  </si>
  <si>
    <t>SP0000010596</t>
  </si>
  <si>
    <t>FREGADORA BD 70/75 W</t>
  </si>
  <si>
    <t>SP0000010597</t>
  </si>
  <si>
    <t>SP0000010598</t>
  </si>
  <si>
    <t>HAROLD ENRIQUE POLO MUÑOZ</t>
  </si>
  <si>
    <t>SP0000010599</t>
  </si>
  <si>
    <t>INDUSTRIAS ZUBIRIA</t>
  </si>
  <si>
    <t>ASPIRADORA WD 3</t>
  </si>
  <si>
    <t>SP0000010600</t>
  </si>
  <si>
    <t>SP0000010601</t>
  </si>
  <si>
    <t>SP0000010602</t>
  </si>
  <si>
    <t>SP0000010603</t>
  </si>
  <si>
    <t>GRUPO CORTIJO LA MOVIDA</t>
  </si>
  <si>
    <t>SP0000010604</t>
  </si>
  <si>
    <t>2- FREGAGORA BD 70/75 W</t>
  </si>
  <si>
    <t>SP0000010605</t>
  </si>
  <si>
    <t>SP0000010606</t>
  </si>
  <si>
    <t>SP0000010607</t>
  </si>
  <si>
    <t>SP0000010608</t>
  </si>
  <si>
    <t>DEHISA SERVICIOS INTEGRALES</t>
  </si>
  <si>
    <t>SP0000010609</t>
  </si>
  <si>
    <t>SP0000010610</t>
  </si>
  <si>
    <t>SP0000010611</t>
  </si>
  <si>
    <t xml:space="preserve">GUADALUPE GONZALO ALCANTARA MORENO </t>
  </si>
  <si>
    <t>SP0000010612</t>
  </si>
  <si>
    <t>1- BDS 51/175 C</t>
  </si>
  <si>
    <t>SP0000010613</t>
  </si>
  <si>
    <t>SP0000010614</t>
  </si>
  <si>
    <t>SP0000010615</t>
  </si>
  <si>
    <t>GRUPO STAR ALW</t>
  </si>
  <si>
    <t>SP0000010616</t>
  </si>
  <si>
    <t>K 4 PREMIUM</t>
  </si>
  <si>
    <t>SP0000010617</t>
  </si>
  <si>
    <t>SP0000010618</t>
  </si>
  <si>
    <t>HIDROLAVADORA HD 585, 2 BDS 51/175 C</t>
  </si>
  <si>
    <t>SP0000010619</t>
  </si>
  <si>
    <t>SP0000010620</t>
  </si>
  <si>
    <t>SP0000010621</t>
  </si>
  <si>
    <t>SP0000010622</t>
  </si>
  <si>
    <t>SP0000010623</t>
  </si>
  <si>
    <t>SP0000010624</t>
  </si>
  <si>
    <t>HECTOR GERARDO CASTRO RAMIREZ</t>
  </si>
  <si>
    <t>SP0000010625</t>
  </si>
  <si>
    <t>SP0000010626</t>
  </si>
  <si>
    <t>SP0000010627</t>
  </si>
  <si>
    <t>SP0000010628</t>
  </si>
  <si>
    <t>SP0000010629</t>
  </si>
  <si>
    <t>TERAPEUTAS DEL DOLOR CRONICO</t>
  </si>
  <si>
    <t>SP0000010630</t>
  </si>
  <si>
    <t>SANTA JIMENEZ ROJAS</t>
  </si>
  <si>
    <t>SP0000010631</t>
  </si>
  <si>
    <t>SP0000010632</t>
  </si>
  <si>
    <t>SP0000010633</t>
  </si>
  <si>
    <t>SP0000010634</t>
  </si>
  <si>
    <t>SP0000010635</t>
  </si>
  <si>
    <t>SP0000010636</t>
  </si>
  <si>
    <t>JAVIER FLORES PEREZ</t>
  </si>
  <si>
    <t>SP0000010637</t>
  </si>
  <si>
    <t>SP0000010638</t>
  </si>
  <si>
    <t>SP0000010639</t>
  </si>
  <si>
    <t>KEMPRO DE MEXICO</t>
  </si>
  <si>
    <t>SP0000010640</t>
  </si>
  <si>
    <t>SP0000010641</t>
  </si>
  <si>
    <t>SP0000010642</t>
  </si>
  <si>
    <t>SP0000010643</t>
  </si>
  <si>
    <t>SP0000010644</t>
  </si>
  <si>
    <t>SP0000010645</t>
  </si>
  <si>
    <t>SP0000010646</t>
  </si>
  <si>
    <t>SP0000010647</t>
  </si>
  <si>
    <t>SP0000010648</t>
  </si>
  <si>
    <t>EQUIPO HOME &amp; GARDEN/ACCESORIO</t>
  </si>
  <si>
    <t>SP0000010649</t>
  </si>
  <si>
    <t>SP0000010650</t>
  </si>
  <si>
    <t>SP0000010651</t>
  </si>
  <si>
    <t>JONATHAN ALAN FRAUSTO ORTIZ</t>
  </si>
  <si>
    <t>SP0000010652</t>
  </si>
  <si>
    <t>SP0000010653</t>
  </si>
  <si>
    <t>SP0000010654</t>
  </si>
  <si>
    <t>SP0000010655</t>
  </si>
  <si>
    <t>SP0000010656</t>
  </si>
  <si>
    <t>SP0000010657</t>
  </si>
  <si>
    <t>SP0000010658</t>
  </si>
  <si>
    <t>SP0000010659</t>
  </si>
  <si>
    <t>JORGE ALBERTO AGUIRRE ESQUIVEL</t>
  </si>
  <si>
    <t>SP0000010660</t>
  </si>
  <si>
    <t>FREGADORA BD 43/25 C</t>
  </si>
  <si>
    <t>SP0000010661</t>
  </si>
  <si>
    <t>SP0000010662</t>
  </si>
  <si>
    <t>OMNIBUS DE ALBA</t>
  </si>
  <si>
    <t>SP0000010663</t>
  </si>
  <si>
    <t>YURIANA VELASCO NAVARRETE</t>
  </si>
  <si>
    <t>HIDROLAVADORA HDS 1000 BE</t>
  </si>
  <si>
    <t>SP0000010664</t>
  </si>
  <si>
    <t>GAEL SANCHEZ VELASQUEZ</t>
  </si>
  <si>
    <t>SP0000010665</t>
  </si>
  <si>
    <t>SP0000010666</t>
  </si>
  <si>
    <t>CONSTRUCTORA MAROMA</t>
  </si>
  <si>
    <t>SP0000010667</t>
  </si>
  <si>
    <t>SP0000010668</t>
  </si>
  <si>
    <t>SP0000010669</t>
  </si>
  <si>
    <t>SP0000010670</t>
  </si>
  <si>
    <t>SP0000010671</t>
  </si>
  <si>
    <t>FUNDACION BRINGAS-HAGHENBECK</t>
  </si>
  <si>
    <t>SP0000010672</t>
  </si>
  <si>
    <t>SP0000010673</t>
  </si>
  <si>
    <t>INGESAN SERVICIOS MEXICO</t>
  </si>
  <si>
    <t>SP0000010674</t>
  </si>
  <si>
    <t>SP0000010675</t>
  </si>
  <si>
    <t>SP0000010676</t>
  </si>
  <si>
    <t>SP0000010677</t>
  </si>
  <si>
    <t>SCALA HIGHER EDUCATION</t>
  </si>
  <si>
    <t>SP0000010678</t>
  </si>
  <si>
    <t>EVENTOS A LA MEDIDA</t>
  </si>
  <si>
    <t>SP0000010679</t>
  </si>
  <si>
    <t>SP0000010680</t>
  </si>
  <si>
    <t>SP0000010681</t>
  </si>
  <si>
    <t>SP0000010682</t>
  </si>
  <si>
    <t xml:space="preserve">REFACCION-SERVICIO </t>
  </si>
  <si>
    <t>SP0000010683</t>
  </si>
  <si>
    <t>SP0000010684</t>
  </si>
  <si>
    <t>SP0000010685</t>
  </si>
  <si>
    <t>METALINDUSTRIA CORP &amp; INNOVATION</t>
  </si>
  <si>
    <t>SP0000010686</t>
  </si>
  <si>
    <t>SP0000010687</t>
  </si>
  <si>
    <t>VENTA MOSTRADOR/ LOURDES MENDEZ/ 5527024760</t>
  </si>
  <si>
    <t>SP0000010688</t>
  </si>
  <si>
    <t>UJIER MEX</t>
  </si>
  <si>
    <t>SP0000010689</t>
  </si>
  <si>
    <t>ASOCIACION DE CONDOMINOS CERRADA DE LA AMARGURA</t>
  </si>
  <si>
    <t>SP0000010690</t>
  </si>
  <si>
    <t>SP0000010691</t>
  </si>
  <si>
    <t>CLUB DE GOLF VALLESCONDIDO</t>
  </si>
  <si>
    <t>SP0000010692</t>
  </si>
  <si>
    <t>SP0000010693</t>
  </si>
  <si>
    <t>SP0000010694</t>
  </si>
  <si>
    <t>RICARDO ABRAHAM GONZALEZ GUERRERO</t>
  </si>
  <si>
    <t>SP0000010695</t>
  </si>
  <si>
    <t>SP0000010696</t>
  </si>
  <si>
    <t>SP0000010697</t>
  </si>
  <si>
    <t>SP0000010698</t>
  </si>
  <si>
    <t>SP0000010699</t>
  </si>
  <si>
    <t>SP0000010700</t>
  </si>
  <si>
    <t>SP0000010701</t>
  </si>
  <si>
    <t>SP0000010702</t>
  </si>
  <si>
    <t>SP0000010703</t>
  </si>
  <si>
    <t>T.C.H. SERVICIOS INTEGRADOS DE ASISTENCIA</t>
  </si>
  <si>
    <t>SP0000010704</t>
  </si>
  <si>
    <t>OMNIBUS DEL ALBA</t>
  </si>
  <si>
    <t>SP0000010705</t>
  </si>
  <si>
    <t>SP0000010706</t>
  </si>
  <si>
    <t>RESIDENCIAL ARBOLADA DEL PEDREGAL</t>
  </si>
  <si>
    <t>SP0000010707</t>
  </si>
  <si>
    <t xml:space="preserve">HIDROLAVADORA HD 6/15 </t>
  </si>
  <si>
    <t>SP0000010708</t>
  </si>
  <si>
    <t>SP0000010709</t>
  </si>
  <si>
    <t>SP0000010710</t>
  </si>
  <si>
    <t>SP0000010711</t>
  </si>
  <si>
    <t>SP0000010712</t>
  </si>
  <si>
    <t>SP0000010713</t>
  </si>
  <si>
    <t>SP0000010714</t>
  </si>
  <si>
    <t>SP0000010715</t>
  </si>
  <si>
    <t>CNH COMPONENTES</t>
  </si>
  <si>
    <t>EQUIPO PROFESIONAL/ACCESORIO</t>
  </si>
  <si>
    <t>HIDROLAVADORA HDS 8/18</t>
  </si>
  <si>
    <t>SP0000010716</t>
  </si>
  <si>
    <t>SP0000010717</t>
  </si>
  <si>
    <t xml:space="preserve">FERBEL NORTE </t>
  </si>
  <si>
    <t>SP0000010718</t>
  </si>
  <si>
    <t>SP0000010719</t>
  </si>
  <si>
    <t>SP0000010720</t>
  </si>
  <si>
    <t>SP0000010721</t>
  </si>
  <si>
    <t>SP0000010722</t>
  </si>
  <si>
    <t xml:space="preserve">CANCELADA </t>
  </si>
  <si>
    <t>SP0000010723</t>
  </si>
  <si>
    <t>SP0000010724</t>
  </si>
  <si>
    <t>SP0000010725</t>
  </si>
  <si>
    <t>SP0000010726</t>
  </si>
  <si>
    <t>SP0000010727</t>
  </si>
  <si>
    <t>SP0000010728</t>
  </si>
  <si>
    <t>SP0000010729</t>
  </si>
  <si>
    <t>SP0000010730</t>
  </si>
  <si>
    <t>DISTRIBUIDORA INDUSTRIAL GEX</t>
  </si>
  <si>
    <t>SP0000010731</t>
  </si>
  <si>
    <t>SP0000010732</t>
  </si>
  <si>
    <t>SP0000010733</t>
  </si>
  <si>
    <t>SP0000010734</t>
  </si>
  <si>
    <t>SP0000010735</t>
  </si>
  <si>
    <t>PRAXER</t>
  </si>
  <si>
    <t>SP0000010736</t>
  </si>
  <si>
    <t>CRESTA CUERNAVACA</t>
  </si>
  <si>
    <t>SP0000010737</t>
  </si>
  <si>
    <t>SP0000010738</t>
  </si>
  <si>
    <t>SP0000010739</t>
  </si>
  <si>
    <t>ASPIRADORA NT 30/1, HIDROLAVADORA HD 4/9 CAGE</t>
  </si>
  <si>
    <t>SP0000010740</t>
  </si>
  <si>
    <t>SP0000010741</t>
  </si>
  <si>
    <t>SP0000010742</t>
  </si>
  <si>
    <t>SP0000010743</t>
  </si>
  <si>
    <t>GA AMBIENTAL INMOBILIARIA</t>
  </si>
  <si>
    <t>SP0000010744</t>
  </si>
  <si>
    <t>SP0000010745</t>
  </si>
  <si>
    <t>SP0000010746</t>
  </si>
  <si>
    <t>GADEN</t>
  </si>
  <si>
    <t>SP0000010747</t>
  </si>
  <si>
    <t>JUAN REYES MARTINEZ</t>
  </si>
  <si>
    <t>SP0000010748</t>
  </si>
  <si>
    <t>HIDROLAVADORA HD 7/17 M</t>
  </si>
  <si>
    <t>SP0000010749</t>
  </si>
  <si>
    <t>OSCAR MARTINEZ</t>
  </si>
  <si>
    <t>SP0000010750</t>
  </si>
  <si>
    <t>SP0000010751</t>
  </si>
  <si>
    <t>CLUB DE GOLF CHAPULTEPEC</t>
  </si>
  <si>
    <t>SP0000010752</t>
  </si>
  <si>
    <t>SP0000010753</t>
  </si>
  <si>
    <t>SP0000010754</t>
  </si>
  <si>
    <t>SP0000010755</t>
  </si>
  <si>
    <t>IMPERIO AUTOMOTRIZ DE ORIENTE</t>
  </si>
  <si>
    <t>SP0000010756</t>
  </si>
  <si>
    <t>URBANIMEX HABBITA</t>
  </si>
  <si>
    <t>SP0000010757</t>
  </si>
  <si>
    <t>SP0000010758</t>
  </si>
  <si>
    <t>SERVICIO AUTOMOTORES RAINER</t>
  </si>
  <si>
    <t>SP0000010759</t>
  </si>
  <si>
    <t>HIDROLAVADORA HD 9/25 G</t>
  </si>
  <si>
    <t>SP0000010760</t>
  </si>
  <si>
    <t>GUADALUPE JANIK CASTRO ZAMORA</t>
  </si>
  <si>
    <t>SP0000010761</t>
  </si>
  <si>
    <t>SUPREMAS DE AMERICA</t>
  </si>
  <si>
    <t>SP0000010762</t>
  </si>
  <si>
    <t>SP0000010763</t>
  </si>
  <si>
    <t>SP0000010764</t>
  </si>
  <si>
    <t>SP0000010765</t>
  </si>
  <si>
    <t>CLUB DE GOLF LA HACIENDA</t>
  </si>
  <si>
    <t>SP0000010766</t>
  </si>
  <si>
    <t>SP0000010767</t>
  </si>
  <si>
    <t>SALVADOR MARTINEZ MARTINEZ</t>
  </si>
  <si>
    <t>SP0000010768</t>
  </si>
  <si>
    <t>SP0000010769</t>
  </si>
  <si>
    <t>SP0000010770</t>
  </si>
  <si>
    <t>SP0000010771</t>
  </si>
  <si>
    <t>SP0000010772</t>
  </si>
  <si>
    <t>TRASCENDENCIA AUTOMOTRIZ DIVISION DEL NORTE</t>
  </si>
  <si>
    <t>SP0000010773</t>
  </si>
  <si>
    <t>SP0000010774</t>
  </si>
  <si>
    <t>SP0000010775</t>
  </si>
  <si>
    <t>SP0000010776</t>
  </si>
  <si>
    <t>SP0000010777</t>
  </si>
  <si>
    <t>HECTOR PEDRO BECERRA GALEAZZI</t>
  </si>
  <si>
    <t>BARREDORA KM 75/40</t>
  </si>
  <si>
    <t>SP0000010778</t>
  </si>
  <si>
    <t>BOMBA SUMERGIBLE SP 9000</t>
  </si>
  <si>
    <t>SP0000010779</t>
  </si>
  <si>
    <t>TRASCENDENCIA AUTOMOTRIZ ACAPULCO</t>
  </si>
  <si>
    <t>SP0000010780</t>
  </si>
  <si>
    <t>SP0000010781</t>
  </si>
  <si>
    <t>SP0000010782</t>
  </si>
  <si>
    <t>SP0000010783</t>
  </si>
  <si>
    <t>UNIVERSIDAD NACIONAL AUTONOMA DE MEXICO</t>
  </si>
  <si>
    <t>SP0000010784</t>
  </si>
  <si>
    <t>IMPORTADORA GREZON</t>
  </si>
  <si>
    <t>SP0000010785</t>
  </si>
  <si>
    <t>SP0000010786</t>
  </si>
  <si>
    <t>SP0000010787</t>
  </si>
  <si>
    <t>SP0000010788</t>
  </si>
  <si>
    <t>SP0000010789</t>
  </si>
  <si>
    <t>SP0000010790</t>
  </si>
  <si>
    <t>SP0000010791</t>
  </si>
  <si>
    <t>SP0000010792</t>
  </si>
  <si>
    <t>SP0000010793</t>
  </si>
  <si>
    <t>REYNA MARIA DEL CRAMEN BONILLA</t>
  </si>
  <si>
    <t>SP0000010794</t>
  </si>
  <si>
    <t>MERCEDES ORTIZ MALDONADO</t>
  </si>
  <si>
    <t>SP0000010795</t>
  </si>
  <si>
    <t>SP0000010796</t>
  </si>
  <si>
    <t>PEDRO BARRERA GUERRERO</t>
  </si>
  <si>
    <t>SP0000010797</t>
  </si>
  <si>
    <t>SP0000010798</t>
  </si>
  <si>
    <t>SP0000010799</t>
  </si>
  <si>
    <t>SP0000010800</t>
  </si>
  <si>
    <t>SP0000010801</t>
  </si>
  <si>
    <t>SP0000010802</t>
  </si>
  <si>
    <t>SP0000010803</t>
  </si>
  <si>
    <t>SP0000010804</t>
  </si>
  <si>
    <t>SERLOGIS</t>
  </si>
  <si>
    <t>SP0000010805</t>
  </si>
  <si>
    <t>SP0000010806</t>
  </si>
  <si>
    <t>SP0000010807</t>
  </si>
  <si>
    <t>SP0000010808</t>
  </si>
  <si>
    <t xml:space="preserve">EXCELENCIA AUTOMOTRIZ DEL NORTE </t>
  </si>
  <si>
    <t>SP0000010809</t>
  </si>
  <si>
    <t>SP0000010810</t>
  </si>
  <si>
    <t>SP0000010811</t>
  </si>
  <si>
    <t>SP0000010812</t>
  </si>
  <si>
    <t>SP0000010813</t>
  </si>
  <si>
    <t>SP0000010814</t>
  </si>
  <si>
    <t>TRANSPORTES ONIS</t>
  </si>
  <si>
    <t>SP0000010815</t>
  </si>
  <si>
    <t>SP0000010816</t>
  </si>
  <si>
    <t>SP0000010817</t>
  </si>
  <si>
    <t>SP0000010818</t>
  </si>
  <si>
    <t>SP0000010819</t>
  </si>
  <si>
    <t>SP0000010820</t>
  </si>
  <si>
    <t>SP0000010821</t>
  </si>
  <si>
    <t>ERASMO GONZALEZ CARDOSO</t>
  </si>
  <si>
    <t>SP0000010822</t>
  </si>
  <si>
    <t>SP0000010823</t>
  </si>
  <si>
    <t>VINICOLA DE TECATE</t>
  </si>
  <si>
    <t>SP0000010824</t>
  </si>
  <si>
    <t>SP0000010825</t>
  </si>
  <si>
    <t>SP0000010826</t>
  </si>
  <si>
    <t>SP0000010827</t>
  </si>
  <si>
    <t>SP0000010828</t>
  </si>
  <si>
    <t>SP0000010829</t>
  </si>
  <si>
    <t>BOXER TTL</t>
  </si>
  <si>
    <t>SP0000010830</t>
  </si>
  <si>
    <t>SP0000010831</t>
  </si>
  <si>
    <t>SP0000010832</t>
  </si>
  <si>
    <t>SP0000010833</t>
  </si>
  <si>
    <t>BRENDA PAULINA VALENCIA SANCHEZ</t>
  </si>
  <si>
    <t>SP0000010834</t>
  </si>
  <si>
    <t>BLANCA JUDITH ORTIZ SANDOVAL</t>
  </si>
  <si>
    <t>SP0000010835</t>
  </si>
  <si>
    <t>SP0000010836</t>
  </si>
  <si>
    <t>IMPERIO AUTOMOTRIZ DEL SUR</t>
  </si>
  <si>
    <t>SP0000010837</t>
  </si>
  <si>
    <t>SP0000010838</t>
  </si>
  <si>
    <t>SP0000010839</t>
  </si>
  <si>
    <t>COMERCIALIZADORA Y DISTRIBUIDORA CAMFRI</t>
  </si>
  <si>
    <t>HIDROLAVADORA HD 6/15, FREGADORA BD 43/25/ACCESORIO</t>
  </si>
  <si>
    <t>SP0000010840</t>
  </si>
  <si>
    <t>HIDROLABADORA K 4</t>
  </si>
  <si>
    <t>SP0000010841</t>
  </si>
  <si>
    <t>SP0000010842</t>
  </si>
  <si>
    <t>SP0000010843</t>
  </si>
  <si>
    <t>MANTENIMIENTO TEFIMA</t>
  </si>
  <si>
    <t>SP0000010844</t>
  </si>
  <si>
    <t>SP0000010845</t>
  </si>
  <si>
    <t>SP0000010846</t>
  </si>
  <si>
    <t>COPI-TECA</t>
  </si>
  <si>
    <t>SP0000010847</t>
  </si>
  <si>
    <t>SP0000010848</t>
  </si>
  <si>
    <t>SP0000010849</t>
  </si>
  <si>
    <t>SP0000010850</t>
  </si>
  <si>
    <t>SP0000010851</t>
  </si>
  <si>
    <t>ERNESTO MARTIN HERNANDEZ REZA</t>
  </si>
  <si>
    <t>SP0000010852</t>
  </si>
  <si>
    <t>SP0000010853</t>
  </si>
  <si>
    <t>SP0000010854</t>
  </si>
  <si>
    <t>DISPOSITIVOS DE CONTROL</t>
  </si>
  <si>
    <t>SP0000010855</t>
  </si>
  <si>
    <t>SP0000010856</t>
  </si>
  <si>
    <t>SP0000010857</t>
  </si>
  <si>
    <t>SP0000010858</t>
  </si>
  <si>
    <t>SP0000010859</t>
  </si>
  <si>
    <t>HIDROLAVADORA HD 7/17</t>
  </si>
  <si>
    <t>SP0000010860</t>
  </si>
  <si>
    <t>SP0000010861</t>
  </si>
  <si>
    <t>SP0000010862</t>
  </si>
  <si>
    <t>SISTEMAS KINEDYNE</t>
  </si>
  <si>
    <t>SP0000010863</t>
  </si>
  <si>
    <t>SP0000010864</t>
  </si>
  <si>
    <t>DIANA ESTEPHANIA OSORNIO HERNANDEZ</t>
  </si>
  <si>
    <t>SP0000010865</t>
  </si>
  <si>
    <t>PRODUCTOS DE UVA</t>
  </si>
  <si>
    <t>SP0000010866</t>
  </si>
  <si>
    <t>SP0000010867</t>
  </si>
  <si>
    <t>SP0000010868</t>
  </si>
  <si>
    <t>REAL CLEAN DISTRIBUCIONES</t>
  </si>
  <si>
    <t>SP0000010869</t>
  </si>
  <si>
    <t>SP0000010870</t>
  </si>
  <si>
    <t>SP0000010871</t>
  </si>
  <si>
    <t>SP0000010872</t>
  </si>
  <si>
    <t>SP0000010873</t>
  </si>
  <si>
    <t>SP0000010874</t>
  </si>
  <si>
    <t>SP0000010875</t>
  </si>
  <si>
    <t>SP0000010876</t>
  </si>
  <si>
    <t>MARIO GABRIEL RANGEL TREJO</t>
  </si>
  <si>
    <t>SP0000010877</t>
  </si>
  <si>
    <t>SP0000010878</t>
  </si>
  <si>
    <t>SP0000010879</t>
  </si>
  <si>
    <t>SP0000010880</t>
  </si>
  <si>
    <t>SP0000010881</t>
  </si>
  <si>
    <t>SP0000010882</t>
  </si>
  <si>
    <t>SP0000010883</t>
  </si>
  <si>
    <t>SP0000010884</t>
  </si>
  <si>
    <t>SP0000010885</t>
  </si>
  <si>
    <t>SP0000010886</t>
  </si>
  <si>
    <t>CARLOS CARREÑO CANO</t>
  </si>
  <si>
    <t>SP0000010887</t>
  </si>
  <si>
    <t>SP0000010888</t>
  </si>
  <si>
    <t>SP0000010889</t>
  </si>
  <si>
    <t>SP0000010890</t>
  </si>
  <si>
    <t>JAHIR MARTINEZ GONZALEZ</t>
  </si>
  <si>
    <t>SP0000010891</t>
  </si>
  <si>
    <t>SP0000010892</t>
  </si>
  <si>
    <t>SP0000010893</t>
  </si>
  <si>
    <t>SP0000010894</t>
  </si>
  <si>
    <t>ASCENDUM MAQUINARIA MEXICO</t>
  </si>
  <si>
    <t>SP0000010895</t>
  </si>
  <si>
    <t>HIDROLAVADORA HD 8/18</t>
  </si>
  <si>
    <t>SP0000010896</t>
  </si>
  <si>
    <t>SP0000010897</t>
  </si>
  <si>
    <t>COMERCIALIZADORA Y LIMPIEZA MAYEN</t>
  </si>
  <si>
    <t>HIDROLAVADORA G3000</t>
  </si>
  <si>
    <t>SP0000010898</t>
  </si>
  <si>
    <t>SP0000010899</t>
  </si>
  <si>
    <t>ASIPLUS</t>
  </si>
  <si>
    <t>SP0000010900</t>
  </si>
  <si>
    <t>SP0000010901</t>
  </si>
  <si>
    <t>SP0000010902</t>
  </si>
  <si>
    <t>SP0000010903</t>
  </si>
  <si>
    <t>VAPORIZADOR SGV 8/5 C</t>
  </si>
  <si>
    <t>SP0000010904</t>
  </si>
  <si>
    <t>SP0000010905</t>
  </si>
  <si>
    <t>SP0000010906</t>
  </si>
  <si>
    <t>SP0000010907</t>
  </si>
  <si>
    <t>SP0000010908</t>
  </si>
  <si>
    <t>SP0000010909</t>
  </si>
  <si>
    <t>SP0000010910</t>
  </si>
  <si>
    <t>SP0000010911</t>
  </si>
  <si>
    <t>SP0000010912</t>
  </si>
  <si>
    <t>SP0000010913</t>
  </si>
  <si>
    <t>SP0000010914</t>
  </si>
  <si>
    <t>SP0000010915</t>
  </si>
  <si>
    <t>SP0000010916</t>
  </si>
  <si>
    <t>SP0000010917</t>
  </si>
  <si>
    <t>SP0000010918</t>
  </si>
  <si>
    <t>SP0000010919</t>
  </si>
  <si>
    <t>SP0000010920</t>
  </si>
  <si>
    <t>SP0000010921</t>
  </si>
  <si>
    <t>GRUPO BAGVISION</t>
  </si>
  <si>
    <t>SP0000010922</t>
  </si>
  <si>
    <t>SP0000010923</t>
  </si>
  <si>
    <t>SP0000010924</t>
  </si>
  <si>
    <t>SP0000010925</t>
  </si>
  <si>
    <t>SP0000010926</t>
  </si>
  <si>
    <t>SP0000010927</t>
  </si>
  <si>
    <t>SP0000010928</t>
  </si>
  <si>
    <t>SP0000010929</t>
  </si>
  <si>
    <t>SP0000010930</t>
  </si>
  <si>
    <t>SP0000010931</t>
  </si>
  <si>
    <t>SP0000010932</t>
  </si>
  <si>
    <t>SP0000010933</t>
  </si>
  <si>
    <t>SP0000010934</t>
  </si>
  <si>
    <t>SP0000010935</t>
  </si>
  <si>
    <t>SP0000010936</t>
  </si>
  <si>
    <t>SP0000010937</t>
  </si>
  <si>
    <t>FOOD GARAGE</t>
  </si>
  <si>
    <t>SP0000010938</t>
  </si>
  <si>
    <t>HIDROLAVADORA K4</t>
  </si>
  <si>
    <t>SP0000010939</t>
  </si>
  <si>
    <t>SP0000010940</t>
  </si>
  <si>
    <t>SP0000010941</t>
  </si>
  <si>
    <t>SP0000010942</t>
  </si>
  <si>
    <t>SP0000010943</t>
  </si>
  <si>
    <t>SP0000010944</t>
  </si>
  <si>
    <t>CANCELADA SUSTITUIDA POR 10994</t>
  </si>
  <si>
    <t>SP0000010945</t>
  </si>
  <si>
    <t>MARIO FERNANDO ESPEJO TODD</t>
  </si>
  <si>
    <t>SP0000010946</t>
  </si>
  <si>
    <t>SP0000010947</t>
  </si>
  <si>
    <t>SP0000010948</t>
  </si>
  <si>
    <t>SP0000010949</t>
  </si>
  <si>
    <t>CARGOTECNIA EQUIPOS</t>
  </si>
  <si>
    <t>SP0000010950</t>
  </si>
  <si>
    <t>SP0000010951</t>
  </si>
  <si>
    <t>SP0000010952</t>
  </si>
  <si>
    <t>SP0000010953</t>
  </si>
  <si>
    <t>SP0000010954</t>
  </si>
  <si>
    <t>SP0000010955</t>
  </si>
  <si>
    <t>SP0000010956</t>
  </si>
  <si>
    <t>SP0000010957</t>
  </si>
  <si>
    <t>HIDROLAVADORA HD 6/15 -4 M</t>
  </si>
  <si>
    <t>SP0000010958</t>
  </si>
  <si>
    <t>SP0000010960</t>
  </si>
  <si>
    <t>JOSE LUIS MONDRAGON RIVERA</t>
  </si>
  <si>
    <t>SP0000010961</t>
  </si>
  <si>
    <t>SP0000010962</t>
  </si>
  <si>
    <t>SP0000010963</t>
  </si>
  <si>
    <t>CANCELADA SUSTITUIDA POR 11035</t>
  </si>
  <si>
    <t>SP0000010964</t>
  </si>
  <si>
    <t>SP0000010965</t>
  </si>
  <si>
    <t>ESCALONERA BR 52/11 ESC</t>
  </si>
  <si>
    <t>SP0000010966</t>
  </si>
  <si>
    <t>SP0000010967</t>
  </si>
  <si>
    <t>RICARDO NIETO RIVAS</t>
  </si>
  <si>
    <t>SP0000010968</t>
  </si>
  <si>
    <t>SP0000010969</t>
  </si>
  <si>
    <t>SP0000010970</t>
  </si>
  <si>
    <t>SP0000010971</t>
  </si>
  <si>
    <t>SP0000010972</t>
  </si>
  <si>
    <t>SP0000010973</t>
  </si>
  <si>
    <t>SP0000010974</t>
  </si>
  <si>
    <t>SP0000010975</t>
  </si>
  <si>
    <t>SP0000010976</t>
  </si>
  <si>
    <t>SP0000010977</t>
  </si>
  <si>
    <t>SP0000010978</t>
  </si>
  <si>
    <t>SP0000010979</t>
  </si>
  <si>
    <t>GRUPO BGVISION</t>
  </si>
  <si>
    <t>SP0000010980</t>
  </si>
  <si>
    <t>SP0000010981</t>
  </si>
  <si>
    <t>CANCELADA SUSTITUIDA POR 11040</t>
  </si>
  <si>
    <t>SP0000010982</t>
  </si>
  <si>
    <t>SP0000010983</t>
  </si>
  <si>
    <t>SP0000010984</t>
  </si>
  <si>
    <t>CANCELADA SUSTITUIDA POR 10985</t>
  </si>
  <si>
    <t>SP0000010985</t>
  </si>
  <si>
    <t>VICTOR HUGO NAVA GUTIERREZ</t>
  </si>
  <si>
    <t>SP0000010986</t>
  </si>
  <si>
    <t>SP0000010987</t>
  </si>
  <si>
    <t>SP0000010988</t>
  </si>
  <si>
    <t>SP0000010989</t>
  </si>
  <si>
    <t>SP0000010990</t>
  </si>
  <si>
    <t>SIEMPRE CUIDADOS DE LA SALUD MEXICO</t>
  </si>
  <si>
    <t>SP0000010991</t>
  </si>
  <si>
    <t>SP0000010992</t>
  </si>
  <si>
    <t>HIDROLAVADORA (2) G 2600</t>
  </si>
  <si>
    <t>SP0000010993</t>
  </si>
  <si>
    <t>SP0000010994</t>
  </si>
  <si>
    <t>SUSTITUIDA POR 11006</t>
  </si>
  <si>
    <t>SP0000010995</t>
  </si>
  <si>
    <t>SP0000010996</t>
  </si>
  <si>
    <t>SP0000010997</t>
  </si>
  <si>
    <t>SP0000010998</t>
  </si>
  <si>
    <t>ALEF TOOLS</t>
  </si>
  <si>
    <t>EQUIPO PROFESIONAL/EQUIPO HOME &amp; GARDEN</t>
  </si>
  <si>
    <t>ASPIRADORA T 10/1, ESCOBA KB 5 (2)</t>
  </si>
  <si>
    <t>SP0000010999</t>
  </si>
  <si>
    <t>GAPELLI INGREDIENTS</t>
  </si>
  <si>
    <t>SP0000011000</t>
  </si>
  <si>
    <t>SP0000011001</t>
  </si>
  <si>
    <t>MARIA ESTHER PICAZO MALDONADO</t>
  </si>
  <si>
    <t>SP0000011002</t>
  </si>
  <si>
    <t>SP0000011003</t>
  </si>
  <si>
    <t>SP0000011004</t>
  </si>
  <si>
    <t>SP0000011005</t>
  </si>
  <si>
    <t>KAIVAC</t>
  </si>
  <si>
    <t>SP0000011006</t>
  </si>
  <si>
    <t>SP0000011007</t>
  </si>
  <si>
    <t>SP0000011008</t>
  </si>
  <si>
    <t>SP0000011009</t>
  </si>
  <si>
    <t>SP0000011010</t>
  </si>
  <si>
    <t>SP0000011011</t>
  </si>
  <si>
    <t>SP0000011012</t>
  </si>
  <si>
    <t>SP0000011013</t>
  </si>
  <si>
    <t>SP0000011014</t>
  </si>
  <si>
    <t>SP0000011015</t>
  </si>
  <si>
    <t>SP0000011016</t>
  </si>
  <si>
    <t>SP0000011017</t>
  </si>
  <si>
    <t xml:space="preserve">CONSULTORES Y PROFESIONALES EN LIMPIEZA </t>
  </si>
  <si>
    <t>SP0000011018</t>
  </si>
  <si>
    <t>SP0000011019</t>
  </si>
  <si>
    <t>SP0000011020</t>
  </si>
  <si>
    <t>SP0000011021</t>
  </si>
  <si>
    <t>SP0000011022</t>
  </si>
  <si>
    <t>SP0000011023</t>
  </si>
  <si>
    <t>SP0000011024</t>
  </si>
  <si>
    <t>SP0000011025</t>
  </si>
  <si>
    <t>SP0000011026</t>
  </si>
  <si>
    <t>SP0000011027</t>
  </si>
  <si>
    <t>SP0000011028</t>
  </si>
  <si>
    <t>SP0000011029</t>
  </si>
  <si>
    <t>SP0000011030</t>
  </si>
  <si>
    <t>SP0000011031</t>
  </si>
  <si>
    <t>LIONCIO AGUIRRE DELGADO</t>
  </si>
  <si>
    <t>SP0000011032</t>
  </si>
  <si>
    <t>SP0000011033</t>
  </si>
  <si>
    <t>SP0000011034</t>
  </si>
  <si>
    <t>SP0000011035</t>
  </si>
  <si>
    <t>SP0000011036</t>
  </si>
  <si>
    <t>SP0000011037</t>
  </si>
  <si>
    <t>BAYER DE MEXICO</t>
  </si>
  <si>
    <t>SP0000011038</t>
  </si>
  <si>
    <t xml:space="preserve">OPERADORA 3S </t>
  </si>
  <si>
    <t>SP0000011039</t>
  </si>
  <si>
    <t>SP0000011040</t>
  </si>
  <si>
    <t>HIDROLAVADORA HD 6/15, ASPIRADORA NT 70/2</t>
  </si>
  <si>
    <t>SP0000011041</t>
  </si>
  <si>
    <t>DISTRAHER</t>
  </si>
  <si>
    <t>HIDROLAVADORA K 3 ACQUA</t>
  </si>
  <si>
    <t>SP0000011042</t>
  </si>
  <si>
    <t>SP0000011043</t>
  </si>
  <si>
    <t>EQUIPOS Y HERRAMIENTAS</t>
  </si>
  <si>
    <t>HIDROLAVADORA K 3 FOLLOW ME</t>
  </si>
  <si>
    <t>SP0000011044</t>
  </si>
  <si>
    <t>LAVA ALFOMBRA PUZZI 10/1</t>
  </si>
  <si>
    <t>SP0000011045</t>
  </si>
  <si>
    <t>SP0000011046</t>
  </si>
  <si>
    <t>SP0000011047</t>
  </si>
  <si>
    <t>SIMEX SERVICIOS INTEGRADOS DE MEXICO</t>
  </si>
  <si>
    <t>SP0000011048</t>
  </si>
  <si>
    <t>SP0000011049</t>
  </si>
  <si>
    <t>SP0000011050</t>
  </si>
  <si>
    <t>SP0000011051</t>
  </si>
  <si>
    <t>SP0000011052</t>
  </si>
  <si>
    <t>ASPIRADORA WD 1 CLASSIC</t>
  </si>
  <si>
    <t>SP0000011053</t>
  </si>
  <si>
    <t>SP0000011054</t>
  </si>
  <si>
    <t>SP0000011055</t>
  </si>
  <si>
    <t>MOVILAB</t>
  </si>
  <si>
    <t>SP0000011056</t>
  </si>
  <si>
    <t>SP0000011057</t>
  </si>
  <si>
    <t>SP0000011058</t>
  </si>
  <si>
    <t>SP0000011059</t>
  </si>
  <si>
    <t>SP0000011060</t>
  </si>
  <si>
    <t>DTFQ SERVICIOS ESPECIALIZADOS</t>
  </si>
  <si>
    <t>SP0000011061</t>
  </si>
  <si>
    <t>SP0000011062</t>
  </si>
  <si>
    <t>MES</t>
  </si>
  <si>
    <t>DIAS RETRASO</t>
  </si>
  <si>
    <t>SP0000009020</t>
  </si>
  <si>
    <t>ARCOSA INDUSTRIES DE MEXICO S DE RL DE CV</t>
  </si>
  <si>
    <t>OVA SERVICIOS</t>
  </si>
  <si>
    <t>EQUIPOS Y LIMPIEZA DE ALTO NIVEL SA DE CV</t>
  </si>
  <si>
    <t>SP0000011078</t>
  </si>
  <si>
    <t>SP0000011093</t>
  </si>
  <si>
    <t>FDSI</t>
  </si>
  <si>
    <t>SP0000011101</t>
  </si>
  <si>
    <t>SP0000011134</t>
  </si>
  <si>
    <t>SP0000011153</t>
  </si>
  <si>
    <t>SP0000011162</t>
  </si>
  <si>
    <t>PRICE, SERVICES &amp; TRADE</t>
  </si>
  <si>
    <t>SP0000011164</t>
  </si>
  <si>
    <t>SP0000011167</t>
  </si>
  <si>
    <t>SP0000011168</t>
  </si>
  <si>
    <t>SP0000011175</t>
  </si>
  <si>
    <t>DESARROLLO EN TECNOLOGIA Y MERCADO</t>
  </si>
  <si>
    <t>SP0000011181</t>
  </si>
  <si>
    <t>SP0000011182</t>
  </si>
  <si>
    <t>SP0000011184</t>
  </si>
  <si>
    <t>SP0000011185</t>
  </si>
  <si>
    <t>SP0000011187</t>
  </si>
  <si>
    <t>SP0000011191</t>
  </si>
  <si>
    <t>SP0000011195</t>
  </si>
  <si>
    <t>TRASCENDENCIA MOTORS PATRIOTISMO</t>
  </si>
  <si>
    <t>SP0000011196</t>
  </si>
  <si>
    <t>SP0000011203</t>
  </si>
  <si>
    <t>SP0000011207</t>
  </si>
  <si>
    <t>SP0000011206</t>
  </si>
  <si>
    <t>KARCHER</t>
  </si>
  <si>
    <t>FACTURA</t>
  </si>
  <si>
    <t>PROVEEDOR</t>
  </si>
  <si>
    <t>FECHA DE FACTURACION</t>
  </si>
  <si>
    <t>MONTO</t>
  </si>
  <si>
    <t>ABONO</t>
  </si>
  <si>
    <t>TOTAL A PAGAR</t>
  </si>
  <si>
    <t>NOTA DE CREDITO</t>
  </si>
  <si>
    <t>FECHA DE VENCIMIENTO</t>
  </si>
  <si>
    <t xml:space="preserve">FECHA DE PAGO </t>
  </si>
  <si>
    <t>KARCHER MEXICO</t>
  </si>
  <si>
    <t>NC 15% PDTE $61335 PEDIDO 2810667870</t>
  </si>
  <si>
    <t>FACTURA PAGADA 11097</t>
  </si>
  <si>
    <t>NC 15% PDTE $61335 PEDIDO 2810667871</t>
  </si>
  <si>
    <t>FACTURA POR COBRAR $ 1079.28</t>
  </si>
  <si>
    <t>NC 15% PDTE $61335 PEDIDO 2810667872</t>
  </si>
  <si>
    <t>STOCK</t>
  </si>
  <si>
    <t>NC 15% PDTE $61335 PEDIDO 2810667873</t>
  </si>
  <si>
    <t>NC 15% PDTE $61335 PEDIDO 2810667874</t>
  </si>
  <si>
    <t>NC 15% PDTE $61335 PEDIDO 2810667875</t>
  </si>
  <si>
    <t>FACTURA 11076 POR COBRAR $ 1759.14, FACTURA 11075 POR COBRAR $ 198.36</t>
  </si>
  <si>
    <t>NC 15% PDTE $61335 PEDIDO 2810667876</t>
  </si>
  <si>
    <t>FACTURA 11082 PAGADA, FACTURA 11108 PAGADA, FACTURA 11111 PAGADA</t>
  </si>
  <si>
    <t>NC 15% PDTE $61335 PEDIDO 2810667877</t>
  </si>
  <si>
    <t>FACTURA 11091 PAGADA, FACTURA 11110 PAGADA</t>
  </si>
  <si>
    <t>NC 15% PDTE $61335 PEDIDO 2810667878</t>
  </si>
  <si>
    <t>PENDIENTE DE FACTURA $ 645</t>
  </si>
  <si>
    <t>NC 15% PDTE $61335 PEDIDO 2810667879</t>
  </si>
  <si>
    <t>FACTURA 11110 PAGADA, FACTURA 11125 PAGADA</t>
  </si>
  <si>
    <t>NC 15% PDTE $61335 PEDIDO 2810667880</t>
  </si>
  <si>
    <t>FACTURA 11108 PAGADA</t>
  </si>
  <si>
    <t>NC 15% PDTE $61335 PEDIDO 2810667881</t>
  </si>
  <si>
    <t>FACTURA 11104 PAGADA, FACTURA 11107 PAGADA</t>
  </si>
  <si>
    <t>NC 15% PDTE $61335 PEDIDO 2810667882</t>
  </si>
  <si>
    <t xml:space="preserve">FACTURA 11121 PAGADA </t>
  </si>
  <si>
    <t>NC 15% PDTE $61335 PEDIDO 2810667885</t>
  </si>
  <si>
    <t>NC 15% PDTE $61335 PEDIDO 2810667886</t>
  </si>
  <si>
    <t>FACTURA 11115 PAGADA, FACTURA 11130 PAGADA, FACTURA 11108 PAGADA</t>
  </si>
  <si>
    <t>NC 15% PDTE $61335 PEDIDO 2810667887</t>
  </si>
  <si>
    <t>FACTURA 11118 PAGADA</t>
  </si>
  <si>
    <t>NC 15% PDTE $61335 PEDIDO 2810667888</t>
  </si>
  <si>
    <t>FACTURA 11129 POR COBRAR $ 3612.24, FACTURA 11104 PAGADA</t>
  </si>
  <si>
    <t>NC 15% PDTE $61335 PEDIDO 2810667889</t>
  </si>
  <si>
    <t>FACTURA 11123 PAGADA, FACTURA 11126 PAGADA</t>
  </si>
  <si>
    <t>NC 15% PDTE $61335 PEDIDO 2810667890</t>
  </si>
  <si>
    <t>O.T. 2934 PAGADO</t>
  </si>
  <si>
    <t>NC 15% PDTE $61335 PEDIDO 2810667891</t>
  </si>
  <si>
    <t>FACTURA 11130 POR  COBRAR $ 1012.68</t>
  </si>
  <si>
    <t>NC 15% PDTE $61335 PEDIDO 2810667892</t>
  </si>
  <si>
    <t>FACTURA 11111 PAGADA, FACTURA 11113 PAGADA</t>
  </si>
  <si>
    <t>NC 15% PDTE $61335 PEDIDO 2810667893</t>
  </si>
  <si>
    <t>FACTURA 11101 POR COBRAR $ 2088</t>
  </si>
  <si>
    <t>NC 15% PDTE $61335 PEDIDO 2810667894</t>
  </si>
  <si>
    <t>FACTURA 11095 PAGADA</t>
  </si>
  <si>
    <t>NC 15% PDTE $61335 PEDIDO 2810667895</t>
  </si>
  <si>
    <t>FACTURA 11020 PAGADA</t>
  </si>
  <si>
    <t>NC 15% PDTE $61335 PEDIDO 2810667896</t>
  </si>
  <si>
    <t>FACTURA  11100 POR COBRAR $ 1044, STOCK</t>
  </si>
  <si>
    <t>NC 15% PDTE $61335 PEDIDO 2810667897</t>
  </si>
  <si>
    <t>FACTURA 11129 POR COBRAR $ 3612.24, FACTURA 11116 PAGADA</t>
  </si>
  <si>
    <t>NC 15% PDTE $61335 PEDIDO 2810667898</t>
  </si>
  <si>
    <t>FACTURA 11114 PAGADA</t>
  </si>
  <si>
    <t>NC 15% PDTE $61335 PEDIDO 2810667899</t>
  </si>
  <si>
    <t>FACTURA 11124 PAGADA, FACTURA 11116 PAGADA</t>
  </si>
  <si>
    <t>NC 15% PDTE $61335 PEDIDO 2810667900</t>
  </si>
  <si>
    <t>FACTURA 11117 PAGADA</t>
  </si>
  <si>
    <t>FACTURA 11088 PAGADA</t>
  </si>
  <si>
    <t>O.T. 2958 POR COBRAR $ 1714</t>
  </si>
  <si>
    <t>POR FACTURAR $ 19905.60</t>
  </si>
  <si>
    <t>NC REBATE $89,778 CORREO 17/03/26</t>
  </si>
  <si>
    <t>nueva_fecha</t>
  </si>
  <si>
    <t>fecha_pago</t>
  </si>
  <si>
    <t>jorge zarate</t>
  </si>
  <si>
    <t>SP0000011063</t>
  </si>
  <si>
    <t>SP0000011064</t>
  </si>
  <si>
    <t>SP0000011065</t>
  </si>
  <si>
    <t>SP0000011066</t>
  </si>
  <si>
    <t>SP0000011067</t>
  </si>
  <si>
    <t>SP0000011068</t>
  </si>
  <si>
    <t>SP0000011069</t>
  </si>
  <si>
    <t>SP0000011070</t>
  </si>
  <si>
    <t>SP0000011071</t>
  </si>
  <si>
    <t>SP0000011072</t>
  </si>
  <si>
    <t>SP0000011073</t>
  </si>
  <si>
    <t>SP0000011074</t>
  </si>
  <si>
    <t>SP0000011075</t>
  </si>
  <si>
    <t>SP0000011076</t>
  </si>
  <si>
    <t>SP0000011077</t>
  </si>
  <si>
    <t>SP0000011079</t>
  </si>
  <si>
    <t>SP0000011080</t>
  </si>
  <si>
    <t>SP0000011081</t>
  </si>
  <si>
    <t>SP0000011082</t>
  </si>
  <si>
    <t>ALEJANDRO ESPINOZA CABRERO</t>
  </si>
  <si>
    <t>SP0000011083</t>
  </si>
  <si>
    <t>SP0000011084</t>
  </si>
  <si>
    <t>MARIA MACARENA NARANJO GARCIA</t>
  </si>
  <si>
    <t>SP0000011085</t>
  </si>
  <si>
    <t>SP0000011086</t>
  </si>
  <si>
    <t>SP0000011087</t>
  </si>
  <si>
    <t>SP0000011088</t>
  </si>
  <si>
    <t>GF SAN JERONIMO</t>
  </si>
  <si>
    <t>PUZZI 8/1</t>
  </si>
  <si>
    <t>SP0000011089</t>
  </si>
  <si>
    <t>SP0000011090</t>
  </si>
  <si>
    <t>DITEMO</t>
  </si>
  <si>
    <t>SP0000011091</t>
  </si>
  <si>
    <t>BIBIANA NOHEMI ROBLES GUDIÑO</t>
  </si>
  <si>
    <t>SP0000011092</t>
  </si>
  <si>
    <t xml:space="preserve">FDSI </t>
  </si>
  <si>
    <t>SP0000011094</t>
  </si>
  <si>
    <t>OLAN DE MEXICO</t>
  </si>
  <si>
    <t>SP0000011095</t>
  </si>
  <si>
    <t>LUMA RT GARAGE</t>
  </si>
  <si>
    <t>SP0000011096</t>
  </si>
  <si>
    <t>TAURINO MONDRAGON GARCIA</t>
  </si>
  <si>
    <t>SP0000011097</t>
  </si>
  <si>
    <t>PLASTI ENVASES</t>
  </si>
  <si>
    <t>SP0000011098</t>
  </si>
  <si>
    <t>SP0000011099</t>
  </si>
  <si>
    <t>SP0000011100</t>
  </si>
  <si>
    <t>SP0000011102</t>
  </si>
  <si>
    <t>SP0000011103</t>
  </si>
  <si>
    <t>SP0000011104</t>
  </si>
  <si>
    <t>CONSULTORES Y PROFESIONALES EN LIMPIEZA Y DESINFECCION</t>
  </si>
  <si>
    <t>SP0000011105</t>
  </si>
  <si>
    <t>NADIA ELENA VIAZCAN JIMENEZ</t>
  </si>
  <si>
    <t>SP0000011106</t>
  </si>
  <si>
    <t>SP0000011107</t>
  </si>
  <si>
    <t>OUTFIRE</t>
  </si>
  <si>
    <t>SP0000011108</t>
  </si>
  <si>
    <t>DISEÑO INGENIERIA &amp; MANTENIMIENTO INTEGRAL</t>
  </si>
  <si>
    <t>SP0000011109</t>
  </si>
  <si>
    <t>THE REFORMA ATLETIC CLUB</t>
  </si>
  <si>
    <t>SP0000011110</t>
  </si>
  <si>
    <t>SP0000011111</t>
  </si>
  <si>
    <t>ANTONIO GUADALUPE TRUJILLO CABRERA</t>
  </si>
  <si>
    <t>SP0000011112</t>
  </si>
  <si>
    <t>CRYOINFRA</t>
  </si>
  <si>
    <t>SP0000011113</t>
  </si>
  <si>
    <t>SP0000011114</t>
  </si>
  <si>
    <t>SP0000011115</t>
  </si>
  <si>
    <t>SP0000011116</t>
  </si>
  <si>
    <t>SP0000011117</t>
  </si>
  <si>
    <t>SP0000011118</t>
  </si>
  <si>
    <t>MULTIELECTRICA</t>
  </si>
  <si>
    <t>SP0000011119</t>
  </si>
  <si>
    <t>CONTRUCCIONES Y EDIFICACIONES AL COSTO</t>
  </si>
  <si>
    <t>SP0000011120</t>
  </si>
  <si>
    <t>SP0000011121</t>
  </si>
  <si>
    <t>SP0000011122</t>
  </si>
  <si>
    <t>SP0000011123</t>
  </si>
  <si>
    <t>HUGO DARIO FRANCO CASTAÑOS</t>
  </si>
  <si>
    <t>AUTOFINANCIAMIENTO MEXICO</t>
  </si>
  <si>
    <t>ENVIO</t>
  </si>
  <si>
    <t xml:space="preserve">HIDROLAVADORA K 3 </t>
  </si>
  <si>
    <t>SUMINISTROS INDUSTRIAL MAT</t>
  </si>
  <si>
    <t>INMOBILIARIA GIMF</t>
  </si>
  <si>
    <t>HIDROLAVADORA G 3200</t>
  </si>
  <si>
    <t>CLUB DE GOLF VALLE ESCONDIDO</t>
  </si>
  <si>
    <t>CENTRO DE DISTRIBUCION METROPOLITANO</t>
  </si>
  <si>
    <t>ORYMAC</t>
  </si>
  <si>
    <t>IDEARTE ARQUITECTOS</t>
  </si>
  <si>
    <t>RAYMUNDO DIAZ VERGARA</t>
  </si>
  <si>
    <t>ANTONIO GUADALUPE TRUJILLO CARRERA</t>
  </si>
  <si>
    <t>LAMINADOS DE ALTA CALIDAD</t>
  </si>
  <si>
    <t>SIHASI 3</t>
  </si>
  <si>
    <t>SOLUCIONES APLICADAS AL MANTENIMIENTO</t>
  </si>
  <si>
    <t>SP0000011190</t>
  </si>
  <si>
    <t>SP0000011192</t>
  </si>
  <si>
    <t>SP0000011193</t>
  </si>
  <si>
    <t>SP0000011194</t>
  </si>
  <si>
    <t>1 ASPIRADORA NT 48/1, 1 HIDROLAVADORA HD 6/15</t>
  </si>
  <si>
    <t>SP0000011197</t>
  </si>
  <si>
    <t>SP0000011198</t>
  </si>
  <si>
    <t>SP0000011199</t>
  </si>
  <si>
    <t>SP0000011200</t>
  </si>
  <si>
    <t>SP0000011201</t>
  </si>
  <si>
    <t>SP0000011202</t>
  </si>
  <si>
    <t>VSL CORPORATION MEXICO</t>
  </si>
  <si>
    <t>SP0000011204</t>
  </si>
  <si>
    <t>SP0000011205</t>
  </si>
  <si>
    <t>SP0000011208</t>
  </si>
  <si>
    <t>SP0000011209</t>
  </si>
  <si>
    <t>SP0000011210</t>
  </si>
  <si>
    <t>SP0000011211</t>
  </si>
  <si>
    <t>SP0000011212</t>
  </si>
  <si>
    <t>SP0000011213</t>
  </si>
  <si>
    <t>SP0000011214</t>
  </si>
  <si>
    <t>HIDROLAVADORA K 2 INDUSCTION</t>
  </si>
  <si>
    <t>2025_03</t>
  </si>
  <si>
    <t>2025_01</t>
  </si>
  <si>
    <t>2025_02</t>
  </si>
  <si>
    <t>2025_04</t>
  </si>
  <si>
    <t>2025_06</t>
  </si>
  <si>
    <t>2025_05</t>
  </si>
  <si>
    <t>2025_07</t>
  </si>
  <si>
    <t>2025_09</t>
  </si>
  <si>
    <t>2025_08</t>
  </si>
  <si>
    <t>2025_10</t>
  </si>
  <si>
    <t>2024_01</t>
  </si>
  <si>
    <t>2024_02</t>
  </si>
  <si>
    <t>2024_05</t>
  </si>
  <si>
    <t>2024_03</t>
  </si>
  <si>
    <t>2024_04</t>
  </si>
  <si>
    <t>2024_06</t>
  </si>
  <si>
    <t>2024_07</t>
  </si>
  <si>
    <t>2024_08</t>
  </si>
  <si>
    <t>2024_09</t>
  </si>
  <si>
    <t>2024_10</t>
  </si>
  <si>
    <t>2024_11</t>
  </si>
  <si>
    <t>2024_12</t>
  </si>
  <si>
    <t>2026_01</t>
  </si>
  <si>
    <t>Distintivo</t>
  </si>
  <si>
    <t>ventas_usd</t>
  </si>
  <si>
    <t>SP0000011215</t>
  </si>
  <si>
    <t>SP0000011216</t>
  </si>
  <si>
    <t>FUNDIDORA DE METALES INDUSTRIALES</t>
  </si>
  <si>
    <t>SP0000011217</t>
  </si>
  <si>
    <t>SP0000011218</t>
  </si>
  <si>
    <t>SP0000011219</t>
  </si>
  <si>
    <t>SP0000011220</t>
  </si>
  <si>
    <t>SP0000011221</t>
  </si>
  <si>
    <t>SP0000011222</t>
  </si>
  <si>
    <t>SP0000011223</t>
  </si>
  <si>
    <t>SP0000011224</t>
  </si>
  <si>
    <t>SP0000011225</t>
  </si>
  <si>
    <t>SP0000011226</t>
  </si>
  <si>
    <t>SP0000011227</t>
  </si>
  <si>
    <t>REFACCIONES</t>
  </si>
  <si>
    <t>SP0000011228</t>
  </si>
  <si>
    <t>GRUPO EMPRESARIAL</t>
  </si>
  <si>
    <t>SP0000011229</t>
  </si>
  <si>
    <t>ZARAGOZA MOTRIZ</t>
  </si>
  <si>
    <t>SP0000011230</t>
  </si>
  <si>
    <t>SP0000011231</t>
  </si>
  <si>
    <t>EVANGELINA MACIAS BRIONES</t>
  </si>
  <si>
    <t>SP0000011232</t>
  </si>
  <si>
    <t>SP0000011233</t>
  </si>
  <si>
    <t>SP0000011234</t>
  </si>
  <si>
    <t>GRUPO FILAFIL</t>
  </si>
  <si>
    <t>SP0000011235</t>
  </si>
  <si>
    <t>SP0000011236</t>
  </si>
  <si>
    <t>SP0000011237</t>
  </si>
  <si>
    <t>SP0000011238</t>
  </si>
  <si>
    <t>SP0000011239</t>
  </si>
  <si>
    <t>SP0000011240</t>
  </si>
  <si>
    <t>SP0000011241</t>
  </si>
  <si>
    <t>FERNANDO VALDES YEE</t>
  </si>
  <si>
    <t>SP0000011242</t>
  </si>
  <si>
    <t>SP0000011243</t>
  </si>
  <si>
    <t>ASPIRADORA WD 1S</t>
  </si>
  <si>
    <t>SP0000011244</t>
  </si>
  <si>
    <t>CONCULTORES Y PROFESIONALES EN LIMPIEZA Y DESINFECCION</t>
  </si>
  <si>
    <t>SP0000011245</t>
  </si>
  <si>
    <t>SP0000011246</t>
  </si>
  <si>
    <t>SP0000011247</t>
  </si>
  <si>
    <t>SP0000011248</t>
  </si>
  <si>
    <t>SP0000011249</t>
  </si>
  <si>
    <t>SP0000011250</t>
  </si>
  <si>
    <t>MEGAPOLYMER</t>
  </si>
  <si>
    <t>SP0000011251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</si>
</sst>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/m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14" fontId="0" fillId="0" borderId="1" xfId="1" applyNumberFormat="1" applyFont="1" applyBorder="1" applyAlignment="1">
      <alignment horizontal="center"/>
    </xf>
    <xf numFmtId="0" fontId="0" fillId="0" borderId="1" xfId="1" applyFont="1" applyBorder="1"/>
    <xf numFmtId="0" fontId="0" fillId="2" borderId="1" xfId="1" applyFont="1" applyFill="1" applyBorder="1"/>
    <xf numFmtId="0" fontId="5" fillId="0" borderId="1" xfId="1" applyFont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14" fontId="0" fillId="0" borderId="0" xfId="0" applyNumberFormat="1"/>
    <xf numFmtId="44" fontId="0" fillId="0" borderId="0" xfId="5" applyFont="1"/>
    <xf numFmtId="0" fontId="9" fillId="0" borderId="0" xfId="0" applyFont="1"/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4" fontId="10" fillId="3" borderId="3" xfId="0" applyNumberFormat="1" applyFont="1" applyFill="1" applyBorder="1" applyAlignment="1">
      <alignment horizontal="center" vertical="center" wrapText="1"/>
    </xf>
    <xf numFmtId="1" fontId="10" fillId="3" borderId="3" xfId="0" applyNumberFormat="1" applyFont="1" applyFill="1" applyBorder="1" applyAlignment="1">
      <alignment horizontal="center" vertical="center" wrapText="1"/>
    </xf>
    <xf numFmtId="44" fontId="10" fillId="3" borderId="3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44" fontId="9" fillId="2" borderId="1" xfId="5" applyFont="1" applyFill="1" applyBorder="1" applyAlignment="1">
      <alignment horizontal="center"/>
    </xf>
    <xf numFmtId="44" fontId="9" fillId="0" borderId="1" xfId="5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0" xfId="1" applyFont="1" applyAlignment="1">
      <alignment vertical="top"/>
    </xf>
    <xf numFmtId="14" fontId="0" fillId="3" borderId="0" xfId="0" applyNumberFormat="1" applyFill="1"/>
    <xf numFmtId="44" fontId="0" fillId="0" borderId="0" xfId="5" applyFont="1" applyFill="1"/>
    <xf numFmtId="0" fontId="2" fillId="0" borderId="1" xfId="0" applyFont="1" applyBorder="1"/>
    <xf numFmtId="44" fontId="0" fillId="0" borderId="1" xfId="5" applyFont="1" applyBorder="1"/>
    <xf numFmtId="44" fontId="0" fillId="0" borderId="1" xfId="5" applyFont="1" applyFill="1" applyBorder="1"/>
    <xf numFmtId="44" fontId="0" fillId="3" borderId="1" xfId="5" applyFont="1" applyFill="1" applyBorder="1"/>
    <xf numFmtId="44" fontId="2" fillId="0" borderId="1" xfId="5" applyFont="1" applyBorder="1"/>
    <xf numFmtId="14" fontId="2" fillId="0" borderId="1" xfId="0" applyNumberFormat="1" applyFont="1" applyBorder="1" applyAlignment="1">
      <alignment horizontal="center"/>
    </xf>
    <xf numFmtId="44" fontId="0" fillId="5" borderId="0" xfId="0" applyNumberFormat="1" applyFill="1" applyAlignment="1">
      <alignment horizontal="center"/>
    </xf>
    <xf numFmtId="44" fontId="0" fillId="3" borderId="0" xfId="0" applyNumberFormat="1" applyFill="1" applyAlignment="1">
      <alignment horizontal="center"/>
    </xf>
    <xf numFmtId="0" fontId="0" fillId="3" borderId="0" xfId="1" applyFont="1" applyFill="1" applyAlignment="1">
      <alignment horizontal="center"/>
    </xf>
    <xf numFmtId="0" fontId="0" fillId="6" borderId="0" xfId="1" applyFont="1" applyFill="1" applyAlignment="1">
      <alignment horizontal="center"/>
    </xf>
    <xf numFmtId="0" fontId="2" fillId="3" borderId="1" xfId="0" applyFont="1" applyFill="1" applyBorder="1"/>
    <xf numFmtId="14" fontId="2" fillId="3" borderId="1" xfId="0" applyNumberFormat="1" applyFont="1" applyFill="1" applyBorder="1" applyAlignment="1">
      <alignment horizontal="center"/>
    </xf>
    <xf numFmtId="44" fontId="2" fillId="3" borderId="1" xfId="5" applyFont="1" applyFill="1" applyBorder="1"/>
    <xf numFmtId="0" fontId="0" fillId="7" borderId="0" xfId="0" applyFill="1"/>
    <xf numFmtId="44" fontId="2" fillId="0" borderId="1" xfId="5" applyFont="1" applyFill="1" applyBorder="1"/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44" fontId="0" fillId="7" borderId="1" xfId="5" applyFont="1" applyFill="1" applyBorder="1"/>
    <xf numFmtId="0" fontId="2" fillId="3" borderId="6" xfId="0" applyFont="1" applyFill="1" applyBorder="1"/>
    <xf numFmtId="49" fontId="0" fillId="0" borderId="1" xfId="0" applyNumberFormat="1" applyBorder="1" applyAlignment="1">
      <alignment horizontal="center"/>
    </xf>
    <xf numFmtId="44" fontId="0" fillId="0" borderId="1" xfId="5" applyFont="1" applyBorder="1" applyAlignment="1">
      <alignment horizontal="center"/>
    </xf>
    <xf numFmtId="0" fontId="2" fillId="0" borderId="1" xfId="1" applyBorder="1"/>
    <xf numFmtId="0" fontId="0" fillId="3" borderId="1" xfId="1" applyFont="1" applyFill="1" applyBorder="1"/>
    <xf numFmtId="0" fontId="0" fillId="7" borderId="1" xfId="1" applyFont="1" applyFill="1" applyBorder="1"/>
    <xf numFmtId="0" fontId="2" fillId="3" borderId="1" xfId="1" applyFill="1" applyBorder="1"/>
    <xf numFmtId="14" fontId="0" fillId="2" borderId="1" xfId="0" applyNumberFormat="1" applyFill="1" applyBorder="1" applyAlignment="1">
      <alignment horizontal="center"/>
    </xf>
  </cellXfs>
  <cellStyles count="6">
    <cellStyle name="Hipervínculo 2" xfId="3" xr:uid="{4381BE6C-3AA6-4297-8C83-2B7E8543BC20}"/>
    <cellStyle name="Millares 2" xfId="4" xr:uid="{7EFB15E7-682B-4915-83AB-CF9087E56847}"/>
    <cellStyle name="Moneda" xfId="5" builtinId="4"/>
    <cellStyle name="Moneda 2" xfId="2" xr:uid="{38ADF6E8-4BAF-435F-BD1D-135504D78157}"/>
    <cellStyle name="Normal" xfId="0" builtinId="0"/>
    <cellStyle name="Normal 2" xfId="1" xr:uid="{981F3D8B-CAE1-4293-927A-377CABBFEA95}"/>
  </cellStyles>
  <dxfs count="3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Gonzalez" refreshedDate="46094.68198587963" createdVersion="8" refreshedVersion="8" minRefreshableVersion="3" recordCount="717" xr:uid="{E77C10C4-6D70-4510-98DC-C1035196B6AA}">
  <cacheSource type="worksheet">
    <worksheetSource ref="A1:I667" sheet="Ventas SAE"/>
  </cacheSource>
  <cacheFields count="11">
    <cacheField name="linea_de_negocio" numFmtId="0">
      <sharedItems containsBlank="1"/>
    </cacheField>
    <cacheField name="fecha" numFmtId="14">
      <sharedItems containsNonDate="0" containsDate="1" containsString="0" containsBlank="1" minDate="2024-01-02T00:00:00" maxDate="2024-12-31T00:00:00" count="232"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m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7T00:00:00"/>
        <d v="2024-01-29T00:00:00"/>
        <d v="2024-01-30T00:00:00"/>
        <d v="2024-01-31T00:00:00"/>
        <d v="2024-02-01T00:00:00"/>
        <d v="2024-02-06T00:00:00"/>
        <d v="2024-02-12T00:00:00"/>
        <d v="2024-02-13T00:00:00"/>
        <d v="2024-02-14T00:00:00"/>
        <d v="2024-02-15T00:00:00"/>
        <d v="2024-02-16T00:00:00"/>
        <d v="2024-02-17T00:00:00"/>
        <d v="2024-02-19T00:00:00"/>
        <d v="2024-02-20T00:00:00"/>
        <d v="2024-02-21T00:00:00"/>
        <d v="2024-02-24T00:00:00"/>
        <d v="2024-02-26T00:00:00"/>
        <d v="2024-02-27T00:00:00"/>
        <d v="2024-02-28T00:00:00"/>
        <d v="2024-02-29T00:00:00"/>
        <d v="2024-03-02T00:00:00"/>
        <d v="2024-03-05T00:00:00"/>
        <d v="2024-03-06T00:00:00"/>
        <d v="2024-03-07T00:00:00"/>
        <d v="2024-03-08T00:00:00"/>
        <d v="2024-03-09T00:00:00"/>
        <d v="2024-03-12T00:00:00"/>
        <d v="2024-03-13T00:00:00"/>
        <d v="2024-03-14T00:00:00"/>
        <d v="2024-03-19T00:00:00"/>
        <d v="2024-03-20T00:00:00"/>
        <d v="2024-03-21T00:00:00"/>
        <d v="2024-03-22T00:00:00"/>
        <d v="2024-03-23T00:00:00"/>
        <d v="2024-03-25T00:00:00"/>
        <d v="2024-03-26T00:00:00"/>
        <d v="2024-03-27T00:00:00"/>
        <d v="2024-04-01T00:00:00"/>
        <d v="2024-04-02T00:00:00"/>
        <d v="2024-04-03T00:00:00"/>
        <d v="2024-04-05T00:00:00"/>
        <d v="2024-04-08T00:00:00"/>
        <d v="2024-04-09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22T00:00:00"/>
        <d v="2024-04-23T00:00:00"/>
        <d v="2024-04-25T00:00:00"/>
        <d v="2024-04-26T00:00:00"/>
        <d v="2024-04-27T00:00:00"/>
        <d v="2024-04-30T00:00:00"/>
        <d v="2024-05-02T00:00:00"/>
        <d v="2024-05-07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1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6-29T00:00:00"/>
        <d v="2024-07-01T00:00:00"/>
        <d v="2024-07-02T00:00:00"/>
        <d v="2024-07-04T00:00:00"/>
        <d v="2024-07-05T00:00:00"/>
        <d v="2024-07-06T00:00:00"/>
        <d v="2024-07-08T00:00:00"/>
        <d v="2024-07-09T00:00:00"/>
        <d v="2024-07-10T00:00:00"/>
        <d v="2024-07-15T00:00:00"/>
        <d v="2024-07-16T00:00:00"/>
        <d v="2024-07-19T00:00:00"/>
        <d v="2024-07-22T00:00:00"/>
        <d v="2024-07-23T00:00:00"/>
        <d v="2024-07-25T00:00:00"/>
        <d v="2024-07-26T00:00:00"/>
        <d v="2024-07-29T00:00:00"/>
        <d v="2024-07-30T00:00:00"/>
        <d v="2024-08-02T00:00:00"/>
        <d v="2024-08-05T00:00:00"/>
        <d v="2024-08-07T00:00:00"/>
        <d v="2024-08-08T00:00:00"/>
        <d v="2024-08-09T00:00:00"/>
        <d v="2024-08-10T00:00:00"/>
        <d v="2024-08-14T00:00:00"/>
        <d v="2024-08-15T00:00:00"/>
        <d v="2024-08-16T00:00:00"/>
        <d v="2024-08-19T00:00:00"/>
        <d v="2024-08-20T00:00:00"/>
        <d v="2024-08-21T00:00:00"/>
        <d v="2024-08-23T00:00:00"/>
        <d v="2024-08-24T00:00:00"/>
        <d v="2024-08-27T00:00:00"/>
        <d v="2024-08-29T00:00:00"/>
        <d v="2024-08-30T00:00:00"/>
        <d v="2024-08-31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28T00:00:00"/>
        <d v="2024-09-30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6T00:00:00"/>
        <d v="2024-10-17T00:00:00"/>
        <d v="2024-10-18T00:00:00"/>
        <d v="2024-10-21T00:00:00"/>
        <d v="2024-10-23T00:00:00"/>
        <d v="2024-10-24T00:00:00"/>
        <d v="2024-10-26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3T00:00:00"/>
        <d v="2024-11-14T00:00:00"/>
        <d v="2024-11-15T00:00:00"/>
        <d v="2024-11-19T00:00:00"/>
        <d v="2024-11-20T00:00:00"/>
        <d v="2024-11-22T00:00:00"/>
        <d v="2024-11-23T00:00:00"/>
        <d v="2024-11-25T00:00:00"/>
        <d v="2024-11-26T00:00:00"/>
        <d v="2024-11-27T00:00:00"/>
        <d v="2024-11-28T00:00:00"/>
        <d v="2024-11-29T00:00:00"/>
        <d v="2024-11-30T00:00:00"/>
        <d v="2024-12-04T00:00:00"/>
        <d v="2024-12-06T00:00:00"/>
        <d v="2024-12-10T00:00:00"/>
        <d v="2024-12-11T00:00:00"/>
        <d v="2024-12-13T00:00:00"/>
        <d v="2024-12-14T00:00:00"/>
        <d v="2024-12-16T00:00:00"/>
        <d v="2024-12-17T00:00:00"/>
        <d v="2024-12-18T00:00:00"/>
        <d v="2024-12-20T00:00:00"/>
        <d v="2024-12-21T00:00:00"/>
        <d v="2024-12-23T00:00:00"/>
        <d v="2024-12-26T00:00:00"/>
        <d v="2024-12-27T00:00:00"/>
        <d v="2024-12-28T00:00:00"/>
        <d v="2024-12-30T00:00:00"/>
        <d v="2024-01-15T00:00:00"/>
        <d v="2024-02-07T00:00:00"/>
        <d v="2024-03-11T00:00:00"/>
        <d v="2024-08-13T00:00:00"/>
        <d v="2024-12-03T00:00:00"/>
      </sharedItems>
      <fieldGroup par="10"/>
    </cacheField>
    <cacheField name="factura" numFmtId="0">
      <sharedItems containsBlank="1"/>
    </cacheField>
    <cacheField name="cliente" numFmtId="0">
      <sharedItems containsBlank="1"/>
    </cacheField>
    <cacheField name="producto" numFmtId="0">
      <sharedItems containsBlank="1"/>
    </cacheField>
    <cacheField name="ventas_usd" numFmtId="44">
      <sharedItems containsString="0" containsBlank="1" containsNumber="1" minValue="0" maxValue="589736.93999999994"/>
    </cacheField>
    <cacheField name="vendedor" numFmtId="0">
      <sharedItems containsBlank="1"/>
    </cacheField>
    <cacheField name="Modelo" numFmtId="0">
      <sharedItems containsBlank="1"/>
    </cacheField>
    <cacheField name="Razon Social" numFmtId="0">
      <sharedItems count="2">
        <s v="SOLUCIONES ALEMANAS "/>
        <s v="EQUIPOS Y LIMPIEZA"/>
      </sharedItems>
    </cacheField>
    <cacheField name="Días (fecha)" numFmtId="0" databaseField="0">
      <fieldGroup base="1">
        <rangePr groupBy="days" startDate="2024-01-02T00:00:00" endDate="2024-12-31T00:00:00"/>
        <groupItems count="368">
          <s v="&lt;02/01/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2/2024"/>
        </groupItems>
      </fieldGroup>
    </cacheField>
    <cacheField name="Meses (fecha)" numFmtId="0" databaseField="0">
      <fieldGroup base="1">
        <rangePr groupBy="months" startDate="2024-01-02T00:00:00" endDate="2024-12-31T00:00:00"/>
        <groupItems count="14">
          <s v="&lt;02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7">
  <r>
    <s v="KARCHER "/>
    <x v="0"/>
    <s v="SP0000009751"/>
    <s v="CALIDAD EN SISTEMAS DE LIMPIEZA"/>
    <s v="ACCESORIO"/>
    <n v="193.50000000000003"/>
    <s v="INTERNO"/>
    <m/>
    <x v="0"/>
  </r>
  <r>
    <s v="KARCHER "/>
    <x v="0"/>
    <s v="SP0000009752"/>
    <s v="CALIDAD EN SISTEMAS DE LIMPIEZA"/>
    <s v="ACCESORIO"/>
    <n v="684.00000000000011"/>
    <s v="INTERNO"/>
    <m/>
    <x v="0"/>
  </r>
  <r>
    <s v="KARCHER "/>
    <x v="1"/>
    <s v="SP0000009753"/>
    <s v="VENTA MOSTRADOR"/>
    <s v="ACCESORIO"/>
    <n v="301.72413793103448"/>
    <s v="PISO PERIFERICO"/>
    <m/>
    <x v="0"/>
  </r>
  <r>
    <s v="KARCHER "/>
    <x v="1"/>
    <s v="SP0000009754"/>
    <s v="VENTA MOSTRADOR"/>
    <s v="REFACCION"/>
    <n v="413.79310344827587"/>
    <s v="PISO PERIFERICO"/>
    <m/>
    <x v="0"/>
  </r>
  <r>
    <s v="KARCHER "/>
    <x v="1"/>
    <s v="SP0000009755"/>
    <s v="VENTA MOSTRADOR"/>
    <s v="REVISION"/>
    <n v="517.24137931034488"/>
    <s v="OSCAR RIVAS"/>
    <m/>
    <x v="0"/>
  </r>
  <r>
    <s v="KARCHER "/>
    <x v="1"/>
    <s v="SP0000009756"/>
    <s v="VENTA MOSTRADOR"/>
    <s v="REFACCION-SERVICIO"/>
    <n v="5100"/>
    <s v="OSCAR RIVAS"/>
    <m/>
    <x v="0"/>
  </r>
  <r>
    <s v="KARCHER "/>
    <x v="2"/>
    <s v="SP0000009757"/>
    <s v="VENTA MOSTRADOR"/>
    <s v="ACCESORIO"/>
    <n v="43.103448275862071"/>
    <s v="PISO PERIFERICO"/>
    <m/>
    <x v="0"/>
  </r>
  <r>
    <s v="KARCHER "/>
    <x v="2"/>
    <s v="SP0000009758"/>
    <s v="VENTA MOSTRADOR"/>
    <s v="ACCESORIO"/>
    <n v="440.51724137931035"/>
    <s v="PISO PERIFERICO"/>
    <m/>
    <x v="0"/>
  </r>
  <r>
    <s v="KARCHER "/>
    <x v="3"/>
    <s v="SP0000009759"/>
    <s v="CANCELADA"/>
    <m/>
    <n v="0"/>
    <m/>
    <m/>
    <x v="0"/>
  </r>
  <r>
    <s v="KARCHER "/>
    <x v="3"/>
    <s v="SP0000009760"/>
    <s v="MARTIN ALVAREZ TORRIJOS"/>
    <s v="REFACCION"/>
    <n v="215.51724137931035"/>
    <s v="PISO PERIFERICO"/>
    <m/>
    <x v="0"/>
  </r>
  <r>
    <s v="KARCHER "/>
    <x v="3"/>
    <s v="SP0000009761"/>
    <s v="VENTA MOSTRADOR"/>
    <s v="ACCESORIO"/>
    <n v="2741.3793103448279"/>
    <s v="PISO PERIFERICO"/>
    <m/>
    <x v="0"/>
  </r>
  <r>
    <s v="KARCHER "/>
    <x v="3"/>
    <s v="SP0000009762"/>
    <s v="VENTA MOSTRADOR"/>
    <s v="ACCESORIO"/>
    <n v="1465.5172413793105"/>
    <s v="PISO PERIFERICO"/>
    <m/>
    <x v="0"/>
  </r>
  <r>
    <s v="KARCHER "/>
    <x v="3"/>
    <s v="SP0000009763"/>
    <s v="LUIS FERNADO ECHEGARAY GUERRERO"/>
    <s v="ACCESORIO"/>
    <n v="1465.5172413793105"/>
    <s v="OSCAR RIVAS"/>
    <m/>
    <x v="0"/>
  </r>
  <r>
    <s v="KARCHER "/>
    <x v="4"/>
    <s v="SP0000009764"/>
    <s v="VENTA MOSTRADOR"/>
    <s v="REFACCION-SERVICIO"/>
    <n v="3022"/>
    <s v="OSCAR RIVAS"/>
    <m/>
    <x v="0"/>
  </r>
  <r>
    <s v="KARCHER "/>
    <x v="4"/>
    <s v="SP0000009765"/>
    <s v="HERNANDEZ ORTIZ Y GARCIA MONTIEL"/>
    <s v="REFACCION-SERVICIO"/>
    <n v="2843.3362068965521"/>
    <s v="OSCAR RIVAS"/>
    <m/>
    <x v="0"/>
  </r>
  <r>
    <s v="KARCHER "/>
    <x v="4"/>
    <s v="SP0000009766"/>
    <s v="VENTA MOSTRADOR"/>
    <s v="REVISION"/>
    <n v="258.62068965517244"/>
    <s v="OSCAR RIVAS"/>
    <m/>
    <x v="0"/>
  </r>
  <r>
    <s v="KARCHER "/>
    <x v="4"/>
    <s v="SP0000009767"/>
    <s v="CANCELADA"/>
    <m/>
    <n v="0"/>
    <m/>
    <m/>
    <x v="0"/>
  </r>
  <r>
    <s v="KARCHER "/>
    <x v="4"/>
    <s v="SP0000009768"/>
    <s v="CALIDAD EN SISTEMAS DE LIMPIEZA"/>
    <s v="ACCESORIO"/>
    <n v="918.00000000000011"/>
    <s v="INTERNO"/>
    <m/>
    <x v="0"/>
  </r>
  <r>
    <s v="KARCHER "/>
    <x v="5"/>
    <s v="SP0000009769"/>
    <s v="VENTA MOSTRADOR"/>
    <s v="REFACCION"/>
    <n v="258.62068965517244"/>
    <s v="PISO PERIFERICO"/>
    <m/>
    <x v="0"/>
  </r>
  <r>
    <s v="KARCHER "/>
    <x v="6"/>
    <s v="SP0000009770"/>
    <s v="VENTA MOSTRADOR"/>
    <s v="ACCESORIO"/>
    <n v="715.51724137931035"/>
    <s v="PISO PERIFERICO"/>
    <m/>
    <x v="0"/>
  </r>
  <r>
    <s v="KARCHER "/>
    <x v="6"/>
    <s v="SP0000009771"/>
    <s v="VENTA MOSTRADOR"/>
    <s v="REFACCION-SERVICIO"/>
    <n v="2403"/>
    <s v="OSCAR RIVAS"/>
    <m/>
    <x v="0"/>
  </r>
  <r>
    <s v="KARCHER "/>
    <x v="7"/>
    <s v="SP0000009772"/>
    <s v="GRUPO PAPER GREEN"/>
    <s v="REVISION"/>
    <n v="258.62068965517244"/>
    <s v="OSCAR RIVAS"/>
    <m/>
    <x v="0"/>
  </r>
  <r>
    <s v="KARCHER "/>
    <x v="7"/>
    <s v="SP0000009773"/>
    <s v="NICOLAS HORTA LANDEROS"/>
    <s v="REFACCION-SERVICIO"/>
    <n v="2375"/>
    <s v="OSCAR RIVAS"/>
    <m/>
    <x v="0"/>
  </r>
  <r>
    <s v="KARCHER "/>
    <x v="8"/>
    <s v="SP0000009774"/>
    <s v="IMPLEMENTACION PRODUCTIVA"/>
    <s v="REFACCION-SERVICIO"/>
    <n v="1950.0000000000002"/>
    <s v="OSCAR RIVAS"/>
    <m/>
    <x v="0"/>
  </r>
  <r>
    <s v="KARCHER "/>
    <x v="9"/>
    <s v="SP0000009775"/>
    <s v="MARTIN PEDRO BORQUEZ VALENZUELA"/>
    <s v="ACCESORIO"/>
    <n v="172.41379310344828"/>
    <s v="PISO PERIFERICO"/>
    <m/>
    <x v="0"/>
  </r>
  <r>
    <s v="KARCHER "/>
    <x v="9"/>
    <s v="SP0000009776"/>
    <s v="VENTA MOSTRADOR"/>
    <s v="REVISION"/>
    <n v="258.62068965517244"/>
    <s v="OSCAR RIVAS"/>
    <m/>
    <x v="0"/>
  </r>
  <r>
    <s v="KARCHER "/>
    <x v="9"/>
    <s v="SP0000009777"/>
    <s v="ATLAS COPCO"/>
    <s v="QUIMICO"/>
    <n v="418.10344827586209"/>
    <s v="PISO PERIFERICO"/>
    <m/>
    <x v="0"/>
  </r>
  <r>
    <s v="KARCHER "/>
    <x v="9"/>
    <s v="SP0000009778"/>
    <s v="VENTA MOSTRADOR"/>
    <s v="REFACCION-SERVICIO"/>
    <n v="3225"/>
    <s v="OSCAR RIVAS"/>
    <m/>
    <x v="0"/>
  </r>
  <r>
    <s v="KARCHER "/>
    <x v="9"/>
    <s v="SP0000009779"/>
    <s v="VENTA MOSTRADOR"/>
    <s v="REFACCION"/>
    <n v="940.00000000000011"/>
    <s v="OSCAR RIVAS"/>
    <m/>
    <x v="0"/>
  </r>
  <r>
    <s v="KARCHER "/>
    <x v="9"/>
    <s v="SP0000009780"/>
    <s v="VENTA MOSTRADOR"/>
    <s v="EQUIPO HOME &amp; GARDEN"/>
    <n v="2793.1034482758623"/>
    <s v="PISO PERIFERICO"/>
    <s v="HIDROLAVADORA K 2 INDUCTION"/>
    <x v="0"/>
  </r>
  <r>
    <s v="KARCHER "/>
    <x v="9"/>
    <s v="SP0000009781"/>
    <s v="VENTA MOSTRADOR"/>
    <s v="REFACCION-SERVICIO"/>
    <n v="2250"/>
    <s v="OSCAR RIVAS"/>
    <m/>
    <x v="0"/>
  </r>
  <r>
    <s v="KARCHER "/>
    <x v="10"/>
    <s v="SP0000009782"/>
    <s v="CANCELADA"/>
    <m/>
    <n v="0"/>
    <m/>
    <m/>
    <x v="0"/>
  </r>
  <r>
    <s v="KARCHER "/>
    <x v="11"/>
    <s v="SP0000009783"/>
    <s v="VENTA MOSTRADOR"/>
    <s v="REFACCION-SERVICIO"/>
    <n v="4137.9310344827591"/>
    <s v="OSCAR RIVAS"/>
    <m/>
    <x v="0"/>
  </r>
  <r>
    <s v="KARCHER "/>
    <x v="11"/>
    <s v="SP0000009784"/>
    <s v="CONSULTORES Y PROFESIONLES EN LIMPIEZA Y DESINFECCION"/>
    <s v="REFACCION-SERVICIO"/>
    <n v="3394"/>
    <s v="OSCAR RIVAS"/>
    <m/>
    <x v="0"/>
  </r>
  <r>
    <s v="KARCHER "/>
    <x v="11"/>
    <s v="SP0000009785"/>
    <s v="CALIDAD EN SISTEMAS DE LIMPIEZA"/>
    <s v="ACCESORIO"/>
    <n v="910"/>
    <s v="INTERNO"/>
    <m/>
    <x v="0"/>
  </r>
  <r>
    <s v="KARCHER "/>
    <x v="12"/>
    <s v="SP0000009786"/>
    <s v="CLUB DE FUTBOL CRUZ AZUL"/>
    <s v="SERVICIO-REFACCION"/>
    <n v="11349.801724137933"/>
    <s v="RUBEN ARROYO"/>
    <m/>
    <x v="0"/>
  </r>
  <r>
    <s v="KARCHER "/>
    <x v="12"/>
    <s v="SP0000009787"/>
    <s v="CALIDAD EN SISTEMAS DE LIMPIEZA"/>
    <m/>
    <n v="0"/>
    <m/>
    <m/>
    <x v="0"/>
  </r>
  <r>
    <s v="KARCHER "/>
    <x v="12"/>
    <s v="SP0000009788"/>
    <s v="DIAFRA"/>
    <s v="REFACCION-SERVICIO"/>
    <n v="2706"/>
    <s v="OSCAR RIVAS"/>
    <m/>
    <x v="0"/>
  </r>
  <r>
    <s v="KARCHER "/>
    <x v="13"/>
    <s v="SP0000009789"/>
    <s v="VENTA MOSTRADOR"/>
    <s v="ACCESORIO"/>
    <n v="431.10344827586209"/>
    <s v="OSCAR RIVAS"/>
    <m/>
    <x v="0"/>
  </r>
  <r>
    <s v="KARCHER "/>
    <x v="14"/>
    <s v="SP0000009790"/>
    <s v="ENVASES UNIVERSALES DE MEXICO"/>
    <s v="EQUIPO PROFESIONAL"/>
    <n v="240000.00000000003"/>
    <s v="RUBEN ARROYO"/>
    <s v="2- HIDROLAVADORA HDS 12/18"/>
    <x v="0"/>
  </r>
  <r>
    <s v="KARCHER "/>
    <x v="14"/>
    <s v="SP0000009791"/>
    <s v="VENTA MOSTRADOR"/>
    <s v="ACCESORIO"/>
    <n v="258.62068965517244"/>
    <s v="PISO PERIFERICO"/>
    <m/>
    <x v="0"/>
  </r>
  <r>
    <s v="KARCHER "/>
    <x v="14"/>
    <s v="SP0000009792"/>
    <s v="LEON FELIPE AGUILAR JIMENEZ"/>
    <s v="ACCESORIO"/>
    <n v="603.44827586206895"/>
    <s v="OSCAR RIVAS"/>
    <m/>
    <x v="0"/>
  </r>
  <r>
    <s v="KARCHER "/>
    <x v="15"/>
    <s v="SP0000009793"/>
    <m/>
    <m/>
    <n v="0"/>
    <m/>
    <m/>
    <x v="0"/>
  </r>
  <r>
    <s v="KARCHER "/>
    <x v="15"/>
    <s v="SP0000009794"/>
    <s v="VENTA MOSTRADOR"/>
    <s v="ACCESORIO"/>
    <n v="965.51724137931046"/>
    <s v="OSCAR RIVAS"/>
    <m/>
    <x v="0"/>
  </r>
  <r>
    <s v="KARCHER "/>
    <x v="15"/>
    <s v="SP0000009795"/>
    <s v="DIAJEM ARQUITECTOS ALTO NIVEL"/>
    <s v="ACCESORIO"/>
    <n v="2974.1379310344828"/>
    <s v="OSCAR RIVAS"/>
    <m/>
    <x v="0"/>
  </r>
  <r>
    <s v="KARCHER "/>
    <x v="16"/>
    <s v="SP0000009796"/>
    <s v="UNIVERDIDAD MEXICANA PLANTEL SATELITE"/>
    <s v="REFACCION"/>
    <n v="580"/>
    <s v="PISO PERIFERICO"/>
    <m/>
    <x v="0"/>
  </r>
  <r>
    <s v="KARCHER "/>
    <x v="16"/>
    <s v="SP0000009797"/>
    <s v="DIVAREMEX"/>
    <s v="ACCESORIO"/>
    <n v="3808"/>
    <s v="PISO PERIFERICO"/>
    <m/>
    <x v="0"/>
  </r>
  <r>
    <s v="KARCHER "/>
    <x v="16"/>
    <s v="SP0000009798"/>
    <s v="VENTA MOSTRADOR"/>
    <s v="ACCESORIO"/>
    <n v="301.72413793103448"/>
    <s v="PISO PERIFERICO"/>
    <m/>
    <x v="0"/>
  </r>
  <r>
    <s v="KARCHER "/>
    <x v="16"/>
    <s v="SP0000009799"/>
    <s v="EL COLEGIO DURANGO"/>
    <s v="ACCESORIO"/>
    <n v="1465.5172413793105"/>
    <s v="PISO PERIFERICO"/>
    <m/>
    <x v="0"/>
  </r>
  <r>
    <s v="KARCHER "/>
    <x v="17"/>
    <s v="SP0000009800"/>
    <s v="SUPERFICIE TERRESTRE"/>
    <s v="EQUIPO HOME &amp; GARDEN"/>
    <n v="7758.620689655173"/>
    <s v="PISO PERIFERICO"/>
    <s v="HIDROLAVADORA K 5"/>
    <x v="0"/>
  </r>
  <r>
    <s v="KARCHER "/>
    <x v="17"/>
    <s v="SP0000009801"/>
    <s v="RAUK ALEJANDRO SALDAÑA GALLEGOS"/>
    <s v="REFACCION"/>
    <n v="1034.4827586206898"/>
    <s v="OSCAR RIVAS"/>
    <m/>
    <x v="0"/>
  </r>
  <r>
    <s v="KARCHER "/>
    <x v="17"/>
    <s v="SP0000009802"/>
    <s v="VENTA MOSTRADOR"/>
    <s v="REFACCION-SERVICIO"/>
    <n v="1918.0000000000002"/>
    <s v="OSCAR RIVAS"/>
    <m/>
    <x v="0"/>
  </r>
  <r>
    <s v="KARCHER "/>
    <x v="18"/>
    <s v="SP0000009803"/>
    <s v="VENTA MOSTRADOR"/>
    <s v="REFACCION"/>
    <n v="301.72413793103448"/>
    <s v="OSCAR RIVAS"/>
    <m/>
    <x v="0"/>
  </r>
  <r>
    <s v="KARCHER "/>
    <x v="18"/>
    <s v="SP0000009804"/>
    <s v="GUILLERMO HUGO GARRIDO HERNANDEZ"/>
    <s v="REFACCION"/>
    <n v="586.20689655172418"/>
    <s v="OSCAR RIVAS"/>
    <m/>
    <x v="0"/>
  </r>
  <r>
    <s v="KARCHER "/>
    <x v="19"/>
    <s v="SP0000009805"/>
    <s v="VENTA MOSTRADOR"/>
    <s v="REFACCION-SERVICIO"/>
    <n v="1782"/>
    <s v="OSCAR RIVAS"/>
    <m/>
    <x v="0"/>
  </r>
  <r>
    <s v="KARCHER "/>
    <x v="20"/>
    <s v="SP0000009806"/>
    <s v="REPRESENTACIONES ECOLOGICAS Y AMBIENTALES"/>
    <s v="ACCESORIO"/>
    <n v="258.62068965517244"/>
    <s v="PISO PERIFERICO"/>
    <m/>
    <x v="0"/>
  </r>
  <r>
    <s v="KARCHER "/>
    <x v="21"/>
    <s v="SP0000009807"/>
    <s v="J V D CONSTRUCTORA E INMOBILIARIA"/>
    <s v="REFACCION-SERVICIO"/>
    <n v="2435"/>
    <s v="OSCAR RIVAS"/>
    <m/>
    <x v="0"/>
  </r>
  <r>
    <s v="KARCHER "/>
    <x v="21"/>
    <s v="SP0000009808"/>
    <s v="CALIDAD EN SISTEMAS DE LIMPIEZA"/>
    <m/>
    <n v="0"/>
    <m/>
    <m/>
    <x v="0"/>
  </r>
  <r>
    <s v="KARCHER "/>
    <x v="21"/>
    <s v="SP0000009809"/>
    <s v="VENTA MOSTRADOR"/>
    <s v="ACCESORIO"/>
    <n v="862.06896551724139"/>
    <s v="PISO PERIFERICO"/>
    <m/>
    <x v="0"/>
  </r>
  <r>
    <s v="KARCHER "/>
    <x v="21"/>
    <s v="SP0000009810"/>
    <s v="VENTA MOSTRADOR"/>
    <s v="ACCESORIO"/>
    <n v="43.103448275862071"/>
    <s v="PISO PERIFERICO"/>
    <m/>
    <x v="0"/>
  </r>
  <r>
    <s v="KARCHER "/>
    <x v="22"/>
    <s v="SP0000009811"/>
    <s v="VENTA MOSTRADOR"/>
    <s v="REFACCION-SERVICIO"/>
    <n v="1582"/>
    <s v="OSCAR RIVAS"/>
    <m/>
    <x v="0"/>
  </r>
  <r>
    <s v="KARCHER "/>
    <x v="22"/>
    <s v="SP0000009812"/>
    <s v="JACKSON DAWSON DE MEXICO"/>
    <s v="ACCESORIO"/>
    <n v="1856.0000000000002"/>
    <s v="RUBEN ARROYO"/>
    <m/>
    <x v="0"/>
  </r>
  <r>
    <s v="KARCHER "/>
    <x v="22"/>
    <s v="SP0000009813"/>
    <s v="VENTA MOSTRADOR"/>
    <s v="ACCESORIO"/>
    <n v="301.72413793103448"/>
    <s v="PISO PERIFERICO"/>
    <m/>
    <x v="0"/>
  </r>
  <r>
    <s v="KARCHER "/>
    <x v="22"/>
    <s v="SP0000009814"/>
    <s v="OVA SERVICIOS Y MANTENIMIENTO"/>
    <s v="REFACCION"/>
    <n v="65164.137931034486"/>
    <s v="RUBEN ARROYO"/>
    <m/>
    <x v="0"/>
  </r>
  <r>
    <s v="KARCHER "/>
    <x v="23"/>
    <s v="SP0000009815"/>
    <s v="VENTA MOSTRADOR"/>
    <s v="REFACCION-SERVICIO"/>
    <n v="1715.6034482758621"/>
    <s v="OSCAR RIVAS"/>
    <m/>
    <x v="0"/>
  </r>
  <r>
    <s v="KARCHER "/>
    <x v="24"/>
    <s v="SP0000009816"/>
    <s v="ATLAS COPCO"/>
    <s v="EQUIPO PROFESIONAL"/>
    <n v="43000"/>
    <s v="SERGIO AGUILERA"/>
    <s v="2- HIDROLAVADORA HD 4/9"/>
    <x v="0"/>
  </r>
  <r>
    <s v="KARCHER "/>
    <x v="24"/>
    <s v="SP0000009817"/>
    <s v="GRUPO LA FLORIDA"/>
    <s v="EQUIPO PROFESIONAL"/>
    <n v="18500"/>
    <s v="SERGIO AGUILERA"/>
    <s v="HIDROLAVADORA PRO HD 400"/>
    <x v="0"/>
  </r>
  <r>
    <s v="KARCHER "/>
    <x v="10"/>
    <s v="SP0000009818"/>
    <s v="CANCELADA"/>
    <m/>
    <n v="0"/>
    <m/>
    <m/>
    <x v="0"/>
  </r>
  <r>
    <s v="KARCHER "/>
    <x v="25"/>
    <s v="SP0000009819"/>
    <s v="ROBERTO LARRAGA RODIRGUEZ"/>
    <s v="REFACCION-SERVICIO"/>
    <n v="4792.3965517241386"/>
    <s v="OSCAR RIVAS"/>
    <m/>
    <x v="0"/>
  </r>
  <r>
    <s v="KARCHER "/>
    <x v="25"/>
    <s v="SP0000009820"/>
    <s v="FER  &amp; GRECO"/>
    <s v="EQUIPO HOME &amp; GARDEN"/>
    <n v="7629.310344827587"/>
    <s v="SERGIO AGUILERA"/>
    <s v="HIDROLAVADORA K 5"/>
    <x v="0"/>
  </r>
  <r>
    <s v="KARCHER "/>
    <x v="25"/>
    <s v="SP0000009821"/>
    <s v="CASTILLO MIRANDA Y COMPAÑÍA"/>
    <s v="ACCESORIO"/>
    <n v="1465.5172413793105"/>
    <s v="PISO"/>
    <m/>
    <x v="0"/>
  </r>
  <r>
    <s v="KARCHER "/>
    <x v="25"/>
    <s v="SP0000009822"/>
    <s v="MODESTO MARTINEZ SANCHEZ"/>
    <s v="ACCESORIO"/>
    <n v="387.93103448275866"/>
    <s v="OSCAR RIVAS"/>
    <m/>
    <x v="0"/>
  </r>
  <r>
    <s v="KARCHER "/>
    <x v="25"/>
    <s v="SP0000009823"/>
    <s v="FABRICAS DE CALZADO ANDREA"/>
    <s v="ACCESORIO"/>
    <n v="1939.6637931034486"/>
    <s v="PISO"/>
    <m/>
    <x v="0"/>
  </r>
  <r>
    <s v="KARCHER "/>
    <x v="25"/>
    <s v="SP0000009824"/>
    <s v="VENTA MOSTRADOR"/>
    <s v="REFACCION-SERVICIO"/>
    <n v="1515.0000000000002"/>
    <s v="OSCAR RIVAS"/>
    <m/>
    <x v="0"/>
  </r>
  <r>
    <s v="KARCHER "/>
    <x v="26"/>
    <s v="SP0000009825"/>
    <s v="TRANSFORMACIONES METALICAS Y MANUFACTURAS"/>
    <s v="REFACCION-SERVICIO"/>
    <n v="2262"/>
    <s v="OSCAR RIVAS"/>
    <m/>
    <x v="0"/>
  </r>
  <r>
    <s v="KARCHER "/>
    <x v="26"/>
    <s v="SP0000009826"/>
    <s v="EQUIPOS Y LIMPIEZA DE ALTO NIVEL"/>
    <s v="ACCESORIO"/>
    <n v="132.75862068965517"/>
    <s v="INTERNO"/>
    <m/>
    <x v="0"/>
  </r>
  <r>
    <s v="KARCHER "/>
    <x v="26"/>
    <s v="SP0000009827"/>
    <s v="CALIDAD EN SISTEMAS DE LIMPIEZA"/>
    <s v="REFACCION"/>
    <n v="10102.603448275862"/>
    <s v="INTERNO"/>
    <m/>
    <x v="0"/>
  </r>
  <r>
    <s v="KARCHER "/>
    <x v="26"/>
    <s v="SP0000009828"/>
    <s v="CALIDAD EN SISTEMAS DE LIMPIEZA"/>
    <s v="REFACCION"/>
    <n v="6336.0000000000009"/>
    <s v="INTERNO"/>
    <m/>
    <x v="0"/>
  </r>
  <r>
    <s v="KARCHER "/>
    <x v="26"/>
    <s v="SP0000009829"/>
    <s v="CALIDAD EN SISTEMAS DE LIMPIEZA"/>
    <s v="REFACCION"/>
    <n v="3582"/>
    <s v="INTERNO"/>
    <m/>
    <x v="0"/>
  </r>
  <r>
    <s v="KARCHER "/>
    <x v="27"/>
    <s v="SP0000009830"/>
    <s v="EQUIPOS Y LIMPIEZA DE ALTO NIVEL"/>
    <s v="EQUIPO PROFESIONAL"/>
    <n v="24000"/>
    <s v="RUBEN ARROYO"/>
    <s v="VAPORIZADOR SG 4/4"/>
    <x v="0"/>
  </r>
  <r>
    <s v="KARCHER "/>
    <x v="27"/>
    <s v="SP0000009831"/>
    <s v="CALIDAD EN SISTEMAS DE LIMPIEZA"/>
    <s v="REFACCION"/>
    <n v="4870.8017241379312"/>
    <s v="INTERNO"/>
    <m/>
    <x v="0"/>
  </r>
  <r>
    <s v="KARCHER "/>
    <x v="27"/>
    <s v="SP0000009832"/>
    <s v="VENTA MOSTRADOR"/>
    <s v="REVISION"/>
    <n v="215.51724137931035"/>
    <s v="OSCAR RIVAS"/>
    <m/>
    <x v="0"/>
  </r>
  <r>
    <s v="KARCHER "/>
    <x v="27"/>
    <s v="SP0000009833"/>
    <s v="TRANSPO TRUCKS MEXICO"/>
    <s v="SERVICIO"/>
    <n v="5130.0000000000009"/>
    <s v="SERGIO AGUILERA"/>
    <m/>
    <x v="0"/>
  </r>
  <r>
    <s v="KARCHER "/>
    <x v="27"/>
    <s v="SP0000009834"/>
    <s v="ERASMO VELASCO VICTORIA"/>
    <s v="ACCESORIO"/>
    <n v="1465.5172413793105"/>
    <s v="PISO"/>
    <m/>
    <x v="0"/>
  </r>
  <r>
    <s v="KARCHER "/>
    <x v="27"/>
    <s v="SP0000009835"/>
    <s v="VENTA MOSTRADOR"/>
    <s v="REFACCION-SERVICIO"/>
    <n v="1445.0000000000002"/>
    <s v="OSCAR RIVAS"/>
    <m/>
    <x v="0"/>
  </r>
  <r>
    <s v="KARCHER "/>
    <x v="27"/>
    <s v="SP0000009836"/>
    <s v="VENTA MOSTRADOR"/>
    <s v="REFACCION-SERVICIO"/>
    <n v="744"/>
    <s v="OSCAR RIVAS"/>
    <m/>
    <x v="0"/>
  </r>
  <r>
    <s v="KARCHER "/>
    <x v="27"/>
    <s v="SP0000009837"/>
    <s v="VENTA MOSTRADOR"/>
    <s v="REFACCION-SERVICIO"/>
    <n v="1589.0000000000002"/>
    <s v="OSCAR RIVAS"/>
    <m/>
    <x v="0"/>
  </r>
  <r>
    <s v="KARCHER "/>
    <x v="28"/>
    <s v="SP0000009838"/>
    <s v="VENTA MOSTRADOR"/>
    <s v="EQUIPO HOME &amp; GARDEN"/>
    <n v="7758.620689655173"/>
    <s v="PISO"/>
    <s v="HIDROLAVADORA K 5"/>
    <x v="0"/>
  </r>
  <r>
    <s v="KARCHER "/>
    <x v="28"/>
    <s v="SP0000009839"/>
    <s v="VENTA MOSTRADOR"/>
    <s v="REFACCION-SERVICIO"/>
    <n v="1243.0000000000002"/>
    <s v="OSCAR RIVAS"/>
    <m/>
    <x v="0"/>
  </r>
  <r>
    <s v="KARCHER "/>
    <x v="28"/>
    <s v="SP0000009840"/>
    <s v="VENTA MOSTRADOR"/>
    <s v="REFACCION"/>
    <n v="413.79310344827587"/>
    <s v="OSCAR RIVAS"/>
    <m/>
    <x v="0"/>
  </r>
  <r>
    <s v="KARCHER "/>
    <x v="28"/>
    <s v="SP0000009841"/>
    <s v="VENTA MOSTRADOR"/>
    <s v="REFACCION-SERVICIO"/>
    <n v="1742.0000000000002"/>
    <s v="OSCAR RIVAS"/>
    <m/>
    <x v="0"/>
  </r>
  <r>
    <s v="KARCHER "/>
    <x v="29"/>
    <s v="SP0000009842"/>
    <s v="ABASTECEDORA MEXICANA AUTOMOTRIZ"/>
    <s v="REFACCION-SERVICIO"/>
    <n v="1975.0000000000002"/>
    <s v="OSCAR RIVAS"/>
    <m/>
    <x v="0"/>
  </r>
  <r>
    <s v="KARCHER "/>
    <x v="29"/>
    <s v="SP0000009843"/>
    <s v="ABASTECEDORA MEXICANA AUTOMOTRIZ"/>
    <s v="SERVICIO"/>
    <n v="258.62068965517244"/>
    <s v="OSCAR RIVAS"/>
    <m/>
    <x v="0"/>
  </r>
  <r>
    <s v="KARCHER "/>
    <x v="29"/>
    <s v="SP0000009844"/>
    <s v="VENTA MOSTRADOR"/>
    <s v="REFACCION"/>
    <n v="819"/>
    <s v="OSCAR RIVAS"/>
    <m/>
    <x v="0"/>
  </r>
  <r>
    <s v="KARCHER "/>
    <x v="29"/>
    <s v="SP0000009845"/>
    <s v="ABASTECEDORA MEXICANA AUTOMOTRIZ"/>
    <s v="REFACCION"/>
    <n v="41.379310344827587"/>
    <s v="OSCAR RIVAS"/>
    <m/>
    <x v="0"/>
  </r>
  <r>
    <s v="KARCHER "/>
    <x v="29"/>
    <s v="SP0000009846"/>
    <s v="VENTA MOSTRADOR"/>
    <s v="REFACCION-SERVICIO"/>
    <n v="874.62068965517244"/>
    <s v="OSCAR RIVAS"/>
    <m/>
    <x v="0"/>
  </r>
  <r>
    <s v="KARCHER "/>
    <x v="29"/>
    <s v="SP0000009847"/>
    <s v="VENTA MOSTRADOR"/>
    <s v="REFACCION-SERVICIO"/>
    <n v="1095.0000000000002"/>
    <s v="OSCAR RIVAS"/>
    <m/>
    <x v="0"/>
  </r>
  <r>
    <s v="KARCHER "/>
    <x v="29"/>
    <s v="SP0000009848"/>
    <s v="VENTA MOSTRADOR"/>
    <s v="REFACCION"/>
    <n v="258.62068965517244"/>
    <s v="OSCAR RIVAS"/>
    <m/>
    <x v="0"/>
  </r>
  <r>
    <s v="KARCHER "/>
    <x v="29"/>
    <s v="SP0000009849"/>
    <s v="VENTA MOSTRADOR"/>
    <s v="ACCESORIO"/>
    <n v="724.13793103448279"/>
    <s v="OSCAR RIVAS"/>
    <m/>
    <x v="0"/>
  </r>
  <r>
    <s v="KARCHER "/>
    <x v="30"/>
    <s v="SP0000009850"/>
    <s v="VENTA MOSTRADOR"/>
    <s v="ACCESORIO"/>
    <n v="300"/>
    <s v="PISO"/>
    <m/>
    <x v="0"/>
  </r>
  <r>
    <s v="KARCHER "/>
    <x v="30"/>
    <s v="SP0000009851"/>
    <s v="VENTA MOSTRADOR"/>
    <s v="ACCESORIO"/>
    <n v="732.75862068965523"/>
    <s v="OSCAR RIVAS"/>
    <m/>
    <x v="0"/>
  </r>
  <r>
    <s v="KARCHER "/>
    <x v="30"/>
    <s v="SP0000009852"/>
    <s v="VENTA MOSTRADOR"/>
    <s v="REVISION"/>
    <n v="258.62068965517244"/>
    <s v="OSCAR RIVAS"/>
    <m/>
    <x v="0"/>
  </r>
  <r>
    <s v="KARCHER "/>
    <x v="31"/>
    <s v="SP0000009853"/>
    <s v="EQUIPOS Y LIMPIEZA DE ALTO NIVEL"/>
    <s v="REFACCION"/>
    <n v="162"/>
    <s v="INTERNO"/>
    <m/>
    <x v="0"/>
  </r>
  <r>
    <s v="KARCHER "/>
    <x v="32"/>
    <s v="SP0000009854"/>
    <s v="OVA SERVICIOS Y MANTENIMIENTO"/>
    <s v="REFACCION"/>
    <n v="2996.2758620689656"/>
    <s v="RUBEN ARROYO"/>
    <m/>
    <x v="0"/>
  </r>
  <r>
    <s v="KARCHER "/>
    <x v="32"/>
    <s v="SP0000009855"/>
    <s v="VENTA MOSTRADOR"/>
    <s v="ACCESORIO"/>
    <n v="337.62068965517244"/>
    <s v="PISO"/>
    <m/>
    <x v="0"/>
  </r>
  <r>
    <s v="KARCHER "/>
    <x v="33"/>
    <s v="SP0000009856"/>
    <s v="CALIDAD EN SISTEMAS DE LIMPIEZA"/>
    <m/>
    <n v="0"/>
    <m/>
    <m/>
    <x v="0"/>
  </r>
  <r>
    <s v="KARCHER "/>
    <x v="34"/>
    <s v="SP0000009857"/>
    <s v="ARTURO PULIDO ORTEGA"/>
    <s v="ACCESORIO"/>
    <n v="948.27586206896558"/>
    <s v="PISO"/>
    <m/>
    <x v="0"/>
  </r>
  <r>
    <s v="KARCHER "/>
    <x v="34"/>
    <s v="SP0000009858"/>
    <s v="VENTA MOSTRADOR"/>
    <s v="REFACCION-SERVICIO"/>
    <n v="1435"/>
    <s v="OSCAR RIVAS"/>
    <m/>
    <x v="0"/>
  </r>
  <r>
    <s v="KARCHER "/>
    <x v="35"/>
    <s v="SP0000009859"/>
    <s v="VENTA MOSTRADOR"/>
    <s v="REFACCION-SERVICIO"/>
    <n v="2482.7586206896553"/>
    <s v="OSCAR RIVAS"/>
    <m/>
    <x v="0"/>
  </r>
  <r>
    <s v="KARCHER "/>
    <x v="35"/>
    <s v="SP0000009860"/>
    <s v="VENTA MOSTRADOR"/>
    <s v="REVISION"/>
    <n v="258.62068965517244"/>
    <s v="OSCAR RIVAS"/>
    <m/>
    <x v="0"/>
  </r>
  <r>
    <s v="KARCHER "/>
    <x v="35"/>
    <s v="SP0000009861"/>
    <s v="SALON DE FIESTAS CENTENARIO"/>
    <s v="REFACCION-SERVICIO"/>
    <n v="2016"/>
    <s v="OSCAR RIVAS"/>
    <m/>
    <x v="0"/>
  </r>
  <r>
    <s v="KARCHER "/>
    <x v="35"/>
    <s v="SP0000009862"/>
    <s v="PARQUE ARTURO MUNDET"/>
    <s v="ACCESORIO"/>
    <n v="7999.0000000000009"/>
    <s v="SERGIO AGUILERA"/>
    <m/>
    <x v="0"/>
  </r>
  <r>
    <s v="KARCHER "/>
    <x v="35"/>
    <s v="SP0000009863"/>
    <s v="MAQUE CAFÉ"/>
    <s v="REFACCION-SERVICIO"/>
    <n v="6885.0000000000009"/>
    <s v="OSCAR RIVAS"/>
    <m/>
    <x v="0"/>
  </r>
  <r>
    <s v="KARCHER "/>
    <x v="36"/>
    <s v="SP0000009864"/>
    <s v="CENTRO DEPORTIVO CHAPULTEPEC"/>
    <s v="EQUIPO PROFESIONAL"/>
    <n v="62000.000000000007"/>
    <s v="SERGIO AGUILERA"/>
    <s v="HIDROLAVADORA HD 10/25"/>
    <x v="0"/>
  </r>
  <r>
    <s v="KARCHER "/>
    <x v="36"/>
    <s v="SP0000009865"/>
    <s v="VENTA MOSTRADOR"/>
    <s v="REFACCION"/>
    <n v="387.93103448275866"/>
    <s v="OSCAR RIVAS"/>
    <m/>
    <x v="0"/>
  </r>
  <r>
    <s v="KARCHER "/>
    <x v="36"/>
    <s v="SP0000009866"/>
    <s v="JUAN MANUEL VAZQUEZ GONZALEZ"/>
    <s v="ACCESORIO"/>
    <n v="1465.5172413793105"/>
    <s v="PISO"/>
    <m/>
    <x v="0"/>
  </r>
  <r>
    <s v="KARCHER "/>
    <x v="36"/>
    <s v="SP0000009867"/>
    <s v="VENTA MOSTRADOR"/>
    <s v="REFACCION-SERVICIO"/>
    <n v="1370.0000000000002"/>
    <s v="OSCAR RIVAS"/>
    <m/>
    <x v="0"/>
  </r>
  <r>
    <s v="KARCHER "/>
    <x v="36"/>
    <s v="SP0000009868"/>
    <s v="MIGUEL ROMAN MACIAS"/>
    <s v="ACCESORIO"/>
    <n v="1465.5172413793105"/>
    <s v="OSCAR RIVAS"/>
    <m/>
    <x v="0"/>
  </r>
  <r>
    <s v="KARCHER "/>
    <x v="37"/>
    <s v="SP0000009869"/>
    <s v="VENTA MOSTRADOR"/>
    <s v="EQUIPO HOME &amp; GARDEN"/>
    <n v="1724.1379310344828"/>
    <s v="ANDREA"/>
    <s v="ESCOBA KB 5"/>
    <x v="0"/>
  </r>
  <r>
    <s v="KARCHER "/>
    <x v="37"/>
    <s v="SP0000009870"/>
    <s v="MARABU"/>
    <s v="ACCESORIO"/>
    <n v="1465.5172413793105"/>
    <s v="OSCAR RIVAS"/>
    <m/>
    <x v="0"/>
  </r>
  <r>
    <s v="KARCHER "/>
    <x v="37"/>
    <s v="SP0000009871"/>
    <s v="CANCELADA"/>
    <m/>
    <n v="0"/>
    <m/>
    <m/>
    <x v="0"/>
  </r>
  <r>
    <s v="KARCHER "/>
    <x v="38"/>
    <s v="SP0000009872"/>
    <s v="OVA SERVICIOS Y MANTENIMIENTO"/>
    <s v="ACCESORIO"/>
    <n v="820.00000000000011"/>
    <s v="RUBEN ARROYO"/>
    <m/>
    <x v="0"/>
  </r>
  <r>
    <s v="KARCHER "/>
    <x v="38"/>
    <s v="SP0000009873"/>
    <s v="VENTA MOSTRADOR"/>
    <s v="REFACCION-SERVICIO"/>
    <n v="953.00000000000011"/>
    <s v="OSCAR RIVAS"/>
    <m/>
    <x v="0"/>
  </r>
  <r>
    <s v="KARCHER "/>
    <x v="38"/>
    <s v="SP0000009874"/>
    <s v="VENTA MOSTRADOR"/>
    <s v="REFACCION-SERVICIO"/>
    <n v="990.00000000000011"/>
    <s v="OSCAR RIVAS"/>
    <m/>
    <x v="0"/>
  </r>
  <r>
    <s v="KARCHER "/>
    <x v="38"/>
    <s v="SP0000009875"/>
    <s v="EQUIPOS Y LIMPIEZA DE ALTO NIVEL"/>
    <s v="ACCESORIO"/>
    <n v="22400"/>
    <s v="RUBEN ARROYO"/>
    <m/>
    <x v="0"/>
  </r>
  <r>
    <s v="KARCHER "/>
    <x v="38"/>
    <s v="SP0000009876"/>
    <s v="VENTA MOSTRADOR"/>
    <s v="REFACCION-SERVICIO"/>
    <n v="7068.1034482758623"/>
    <s v="OSCAR RIVAS"/>
    <m/>
    <x v="0"/>
  </r>
  <r>
    <s v="KARCHER "/>
    <x v="39"/>
    <s v="SP0000009877"/>
    <s v="CALIDAD EN SISTEMAS DE LIMPIEZA"/>
    <m/>
    <n v="0"/>
    <m/>
    <m/>
    <x v="0"/>
  </r>
  <r>
    <s v="KARCHER "/>
    <x v="39"/>
    <s v="SP0000009878"/>
    <s v="MICHELLE CADENA CHENGE"/>
    <s v="REFACCION-SERVICIO"/>
    <n v="1940.0000000000002"/>
    <s v="OSCAR RIVAS"/>
    <m/>
    <x v="0"/>
  </r>
  <r>
    <s v="KARCHER "/>
    <x v="40"/>
    <s v="SP0000009879"/>
    <s v="VENTA MOSTRADOR"/>
    <s v="EQUIPO HOME &amp; GARDEN"/>
    <n v="4741.3793103448279"/>
    <s v="PISO"/>
    <s v="HIDROLAVADORA K 4"/>
    <x v="0"/>
  </r>
  <r>
    <s v="KARCHER "/>
    <x v="40"/>
    <s v="SP0000009880"/>
    <s v="VENTA MOSTRADOR"/>
    <s v="REFACCION-SERVICIO"/>
    <n v="1805.0000000000002"/>
    <s v="OSCAR RIVAS"/>
    <m/>
    <x v="0"/>
  </r>
  <r>
    <s v="KARCHER "/>
    <x v="41"/>
    <s v="SP0000009881"/>
    <s v="MULTIPLEXIA DIGITAL"/>
    <s v="REFACCION-SERVICIO"/>
    <n v="1379.3103448275863"/>
    <s v="OSCAR RIVAS"/>
    <m/>
    <x v="0"/>
  </r>
  <r>
    <s v="KARCHER "/>
    <x v="41"/>
    <s v="SP0000009882"/>
    <s v="VENTA MOSTRADOR"/>
    <s v="REFACCION"/>
    <n v="2709.4827586206898"/>
    <s v="PISO"/>
    <m/>
    <x v="0"/>
  </r>
  <r>
    <s v="KARCHER "/>
    <x v="42"/>
    <s v="SP0000009883"/>
    <s v="OVA SERVICIOS Y MANTENIMIENTO"/>
    <s v="REFACCION"/>
    <n v="991.66379310344826"/>
    <s v="RUBEN ARROYO"/>
    <m/>
    <x v="0"/>
  </r>
  <r>
    <s v="KARCHER "/>
    <x v="43"/>
    <s v="SP0000009884"/>
    <s v="EQUIPOS Y LIMPIEZA DE ALTO NIVEL"/>
    <s v="REFACCION"/>
    <n v="8550"/>
    <s v="INTERNO"/>
    <m/>
    <x v="0"/>
  </r>
  <r>
    <s v="KARCHER "/>
    <x v="43"/>
    <s v="SP0000009885"/>
    <s v="CLUB ESPAÑA"/>
    <s v="REFACCION"/>
    <n v="2069"/>
    <s v="ANDREA"/>
    <m/>
    <x v="0"/>
  </r>
  <r>
    <s v="KARCHER "/>
    <x v="44"/>
    <s v="SP0000009886"/>
    <s v="VENTA MOSTRADOR"/>
    <s v="REFACCION-SERVICIO"/>
    <n v="995.00000000000011"/>
    <s v="OSCAR RIVAS"/>
    <m/>
    <x v="0"/>
  </r>
  <r>
    <s v="KARCHER "/>
    <x v="44"/>
    <s v="SP0000009887"/>
    <s v="VENTA MOSTRADOR"/>
    <s v="REFACCION-SERVICIO"/>
    <n v="3350.0000000000005"/>
    <s v="OSCAR RIVAS"/>
    <m/>
    <x v="0"/>
  </r>
  <r>
    <s v="KARCHER "/>
    <x v="45"/>
    <s v="SP0000009888"/>
    <s v="VENTA MOSTRADOR"/>
    <s v="REFACCION-SERVICIO"/>
    <n v="1016"/>
    <s v="OSCAR RIVAS"/>
    <m/>
    <x v="0"/>
  </r>
  <r>
    <s v="KARCHER "/>
    <x v="46"/>
    <s v="SP0000009889"/>
    <s v="LUIS ALFONSO CUEVAS SALAS"/>
    <s v="ACCESORIO"/>
    <n v="379.31034482758622"/>
    <s v="PISO"/>
    <m/>
    <x v="0"/>
  </r>
  <r>
    <s v="KARCHER "/>
    <x v="47"/>
    <s v="SP0000009890"/>
    <s v="HIGH ECHOOL THOMAS JEFERSON"/>
    <s v="ACCESORIO"/>
    <n v="1034.4827586206898"/>
    <s v="PISO"/>
    <m/>
    <x v="0"/>
  </r>
  <r>
    <s v="KARCHER "/>
    <x v="48"/>
    <s v="SP0000009891"/>
    <s v="OPERADORA AZUETENSE"/>
    <s v="EQUIPO HOME &amp; GARDEN"/>
    <n v="3600.0000000000005"/>
    <s v="SERGIO AGUILERA"/>
    <s v="HIDROLAVADORA K 2 PREMIUM"/>
    <x v="0"/>
  </r>
  <r>
    <s v="KARCHER "/>
    <x v="48"/>
    <s v="SP0000009892"/>
    <s v="VENTA MOSTRADOR"/>
    <s v="REFACCION-SERVICIO"/>
    <n v="1782"/>
    <s v="OSCAR RIVAS"/>
    <m/>
    <x v="0"/>
  </r>
  <r>
    <s v="KARCHER "/>
    <x v="48"/>
    <s v="SP0000009893"/>
    <s v="VENTA MOSTRADOR"/>
    <s v="REFACCION-SERVICIO"/>
    <n v="2880.0000000000005"/>
    <s v="OSCAR RIVAS"/>
    <m/>
    <x v="0"/>
  </r>
  <r>
    <s v="KARCHER "/>
    <x v="49"/>
    <s v="SP0000009894"/>
    <s v="GABRIELA HERNANDEZ NARVAEZ"/>
    <s v="SERVICIO"/>
    <n v="646.55172413793105"/>
    <s v="OSCAR RIVAS"/>
    <m/>
    <x v="0"/>
  </r>
  <r>
    <s v="KARCHER "/>
    <x v="49"/>
    <s v="SP0000009895"/>
    <s v="MAQUE CAFÉ"/>
    <s v="ACCESORIO"/>
    <n v="633.62068965517244"/>
    <s v="PISO"/>
    <m/>
    <x v="0"/>
  </r>
  <r>
    <s v="KARCHER "/>
    <x v="49"/>
    <s v="SP0000009896"/>
    <s v="MANTENIMIENTO INDUSTRIAL Y DE TRSNAPORTE RACA"/>
    <s v="REFACCION"/>
    <n v="892.24137931034488"/>
    <s v="OSCAR RIVAS"/>
    <m/>
    <x v="0"/>
  </r>
  <r>
    <s v="KARCHER "/>
    <x v="50"/>
    <s v="SP0000009897"/>
    <s v="VENTA MOSTRADOR"/>
    <s v="EQUIPO HOME &amp; GARDEN"/>
    <n v="931.0344827586207"/>
    <s v="PISO"/>
    <s v="ASPIRADORA CVH 2"/>
    <x v="0"/>
  </r>
  <r>
    <s v="KARCHER "/>
    <x v="50"/>
    <s v="SP0000009898"/>
    <s v="EQUIPOS Y LIMPIEZA DE ALTO NIVEL"/>
    <m/>
    <n v="0"/>
    <m/>
    <m/>
    <x v="0"/>
  </r>
  <r>
    <s v="KARCHER "/>
    <x v="51"/>
    <s v="SP0000009899"/>
    <s v="EQUIPOS Y LIMPIEZA DE ALTO NIVEL"/>
    <s v="REFACCION"/>
    <n v="1063"/>
    <s v="INTERNO"/>
    <m/>
    <x v="0"/>
  </r>
  <r>
    <s v="KARCHER "/>
    <x v="51"/>
    <s v="SP0000009900"/>
    <s v="CANCELADA"/>
    <m/>
    <n v="0"/>
    <m/>
    <m/>
    <x v="0"/>
  </r>
  <r>
    <s v="KARCHER "/>
    <x v="51"/>
    <s v="SP0000009901"/>
    <s v="VENTA MOSTRADOR"/>
    <s v="ACCESORIO"/>
    <n v="2105.1724137931037"/>
    <s v="PISO"/>
    <m/>
    <x v="0"/>
  </r>
  <r>
    <s v="KARCHER "/>
    <x v="51"/>
    <s v="SP0000009902"/>
    <s v="JOSE MANUEL PEREZ MENDOZA"/>
    <s v="EQUIPO HOME &amp; GARDEN"/>
    <n v="4310.3448275862074"/>
    <s v="PISO"/>
    <s v="ASPIRADORA WD 5"/>
    <x v="0"/>
  </r>
  <r>
    <s v="KARCHER "/>
    <x v="51"/>
    <s v="SP0000009903"/>
    <s v="ALIMENTOS DE LA GRANJA"/>
    <s v="EQUIPO PROFESIONAL"/>
    <n v="27882.543103448279"/>
    <s v="RUBEN ARROYO"/>
    <s v="HIDROLAVADORA HD 6/15"/>
    <x v="0"/>
  </r>
  <r>
    <s v="KARCHER "/>
    <x v="51"/>
    <s v="SP0000009904"/>
    <s v="VENTA MOSTRADOR"/>
    <s v="ACCESORIO"/>
    <n v="86.206896551724142"/>
    <s v="PISO"/>
    <m/>
    <x v="0"/>
  </r>
  <r>
    <s v="KARCHER "/>
    <x v="51"/>
    <s v="SP0000009905"/>
    <s v="VENTA MOSTRADOR"/>
    <s v="REFACCION"/>
    <n v="905.17241379310349"/>
    <s v="OSCAR RIVAS"/>
    <m/>
    <x v="0"/>
  </r>
  <r>
    <s v="KARCHER "/>
    <x v="52"/>
    <s v="SP0000009906"/>
    <s v="VENTA MOSTRADOR"/>
    <s v="REFACCION-SERVICIO"/>
    <n v="1176.0000000000002"/>
    <s v="OSCAR RIVAS"/>
    <m/>
    <x v="0"/>
  </r>
  <r>
    <s v="KARCHER "/>
    <x v="53"/>
    <s v="SP0000009907"/>
    <s v="RAMIRO ISRAEL PRADO"/>
    <s v="REFACCION"/>
    <n v="431.0344827586207"/>
    <s v="OSCAR RIVAS"/>
    <m/>
    <x v="0"/>
  </r>
  <r>
    <s v="KARCHER "/>
    <x v="53"/>
    <s v="SP0000009908"/>
    <s v="GRUPO FIMIG"/>
    <s v="REFACCION"/>
    <n v="1982.7586206896553"/>
    <s v="PISO"/>
    <m/>
    <x v="0"/>
  </r>
  <r>
    <s v="KARCHER "/>
    <x v="53"/>
    <s v="SP0000009909"/>
    <s v="RAMIRO ISRAEL PRADO"/>
    <s v="ACCESORIO"/>
    <n v="2155.1724137931037"/>
    <s v="PISO"/>
    <m/>
    <x v="0"/>
  </r>
  <r>
    <s v="KARCHER "/>
    <x v="53"/>
    <s v="SP0000009910"/>
    <s v="RAMIRO ISRAEL PRADO"/>
    <s v="ACCESORIO"/>
    <n v="689.65517241379314"/>
    <s v="PISO"/>
    <m/>
    <x v="0"/>
  </r>
  <r>
    <s v="KARCHER "/>
    <x v="54"/>
    <s v="SP0000009911"/>
    <s v="NOREGAL"/>
    <s v="ACCESORIO"/>
    <n v="90.517241379310349"/>
    <s v="PISO"/>
    <m/>
    <x v="0"/>
  </r>
  <r>
    <s v="KARCHER "/>
    <x v="54"/>
    <s v="SP0000009912"/>
    <s v="ORGATEC"/>
    <s v="ACCESORIO"/>
    <n v="1465.5172413793105"/>
    <s v="PISO"/>
    <m/>
    <x v="0"/>
  </r>
  <r>
    <s v="KARCHER "/>
    <x v="54"/>
    <s v="SP0000009913"/>
    <s v="ABSTECEDORA EL BAMBU"/>
    <s v="ACCESORIO"/>
    <n v="90.517241379310349"/>
    <s v="PISO"/>
    <m/>
    <x v="0"/>
  </r>
  <r>
    <s v="KARCHER "/>
    <x v="54"/>
    <s v="SP0000009914"/>
    <s v="VENTA MOSTRADOR"/>
    <s v="REFACCION-SERVICIO"/>
    <n v="1037.0000000000002"/>
    <s v="OSCAR RIVAS"/>
    <m/>
    <x v="0"/>
  </r>
  <r>
    <s v="KARCHER "/>
    <x v="54"/>
    <s v="SP0000009915"/>
    <s v="OVA SERVICIOS Y MANTENIMIENTO"/>
    <s v="ACCESORIO"/>
    <n v="563.00000000000011"/>
    <s v="RUBEN ARROYO"/>
    <m/>
    <x v="0"/>
  </r>
  <r>
    <s v="KARCHER "/>
    <x v="54"/>
    <s v="SP0000009916"/>
    <s v="EBEN-BINAH 18"/>
    <s v="REFACCION-SERVICIO"/>
    <n v="6002.4137931034493"/>
    <s v="OSCAR RIVAS"/>
    <m/>
    <x v="0"/>
  </r>
  <r>
    <s v="KARCHER "/>
    <x v="55"/>
    <s v="SP0000009917"/>
    <s v="EDICIONES AGELESTE"/>
    <s v="REFACCION-SERVICIO"/>
    <n v="2896.0000000000005"/>
    <s v="OSCAR RIVAS"/>
    <m/>
    <x v="0"/>
  </r>
  <r>
    <s v="KARCHER "/>
    <x v="55"/>
    <s v="SP0000009918"/>
    <s v="MICHELLE CADENA CHENGE"/>
    <s v="ACCESORIO"/>
    <n v="129.31034482758622"/>
    <s v="PISO"/>
    <m/>
    <x v="0"/>
  </r>
  <r>
    <s v="KARCHER "/>
    <x v="55"/>
    <s v="SP0000009919"/>
    <s v="VENTA MOSTRADOR"/>
    <s v="REFACCION-SERVICIO"/>
    <n v="3898.0000000000005"/>
    <s v="OSCAR RIVAS"/>
    <m/>
    <x v="0"/>
  </r>
  <r>
    <s v="KARCHER "/>
    <x v="56"/>
    <s v="SP0000009920"/>
    <s v="FIDEICOMISO F/1596"/>
    <s v="REFACCION"/>
    <n v="1724.1379310344828"/>
    <s v="SERGIO AGUILERA"/>
    <m/>
    <x v="0"/>
  </r>
  <r>
    <s v="KARCHER "/>
    <x v="10"/>
    <s v="SP0000009921"/>
    <s v="CANCELADA"/>
    <m/>
    <n v="0"/>
    <m/>
    <m/>
    <x v="0"/>
  </r>
  <r>
    <s v="KARCHER "/>
    <x v="57"/>
    <s v="SP0000009922"/>
    <s v="FERRE MELO"/>
    <s v="ACCESORIO"/>
    <n v="172.41379310344828"/>
    <s v="PISO"/>
    <m/>
    <x v="0"/>
  </r>
  <r>
    <s v="KARCHER "/>
    <x v="57"/>
    <s v="SP0000009923"/>
    <s v="BESSER AUTO PARTES"/>
    <s v="REFACCION-SERVICIO"/>
    <n v="2664"/>
    <s v="OSCAR RIVAS"/>
    <m/>
    <x v="0"/>
  </r>
  <r>
    <s v="KARCHER "/>
    <x v="57"/>
    <s v="SP0000009924"/>
    <s v="VENTA MOSTRADOR"/>
    <s v="REFACCION-SERVICIO"/>
    <n v="3368.0000000000005"/>
    <s v="OSCAR RIVAS"/>
    <m/>
    <x v="0"/>
  </r>
  <r>
    <s v="KARCHER "/>
    <x v="58"/>
    <s v="SP0000009925"/>
    <s v="VENTA MOSTRADOR"/>
    <s v="REFACCION-SERVICIO"/>
    <n v="1164"/>
    <s v="OSCAR RIVAS"/>
    <m/>
    <x v="0"/>
  </r>
  <r>
    <s v="KARCHER "/>
    <x v="58"/>
    <s v="SP0000009926"/>
    <s v="VENTA MOSTRADOR"/>
    <s v="REFACCION"/>
    <n v="327.58620689655174"/>
    <s v="PISO"/>
    <m/>
    <x v="0"/>
  </r>
  <r>
    <s v="KARCHER "/>
    <x v="59"/>
    <s v="SP0000009927"/>
    <s v="CALIDAD EN SISTEMAS DE LIMPIEZA "/>
    <m/>
    <n v="0"/>
    <m/>
    <m/>
    <x v="0"/>
  </r>
  <r>
    <s v="KARCHER "/>
    <x v="59"/>
    <s v="SP0000009928"/>
    <s v="FRIALSA FRIGORIFICOS"/>
    <s v="ACCESORIO"/>
    <n v="450.00000000000006"/>
    <s v="PISO"/>
    <m/>
    <x v="0"/>
  </r>
  <r>
    <s v="KARCHER "/>
    <x v="59"/>
    <s v="SP0000009929"/>
    <s v="VENTA MOSTRADOR"/>
    <s v="ACCESORIO"/>
    <n v="474.13793103448279"/>
    <s v="PISO"/>
    <m/>
    <x v="0"/>
  </r>
  <r>
    <s v="KARCHER "/>
    <x v="59"/>
    <s v="SP0000009930"/>
    <s v="TRADE ELECTRIS &amp; BROS "/>
    <s v="REFACCION-SERVICIO"/>
    <n v="2244"/>
    <s v="OSCAR RIVAS"/>
    <m/>
    <x v="0"/>
  </r>
  <r>
    <s v="KARCHER "/>
    <x v="59"/>
    <s v="SP0000009931"/>
    <s v="VENTA MOSTRADOR"/>
    <s v="REFACCION"/>
    <n v="357.00000000000006"/>
    <s v="PISO"/>
    <m/>
    <x v="0"/>
  </r>
  <r>
    <s v="KARCHER "/>
    <x v="59"/>
    <s v="SP0000009932"/>
    <s v="VENTA MOSTRADOR"/>
    <s v="ACCESORIO"/>
    <n v="172.41379310344828"/>
    <s v="PISO"/>
    <m/>
    <x v="0"/>
  </r>
  <r>
    <s v="KARCHER "/>
    <x v="59"/>
    <s v="SP0000009933"/>
    <s v="DIAMANTE GRUPO CONSTRUCTORA Y ASOCIADOS"/>
    <s v="REFACCION"/>
    <n v="1293.1034482758621"/>
    <s v="OSCAR RIVAS"/>
    <m/>
    <x v="0"/>
  </r>
  <r>
    <s v="KARCHER "/>
    <x v="60"/>
    <s v="SP0000009934"/>
    <s v="VENTA MOSTRADOR"/>
    <s v="REVISION"/>
    <n v="258.62068965517244"/>
    <s v="OSCAR RIVAS"/>
    <m/>
    <x v="0"/>
  </r>
  <r>
    <s v="KARCHER "/>
    <x v="60"/>
    <s v="SP0000009935"/>
    <s v="VENTA MOSTRADOR"/>
    <s v="REFACCION-SERVICIO"/>
    <n v="1308"/>
    <s v="OSCAR RIVAS"/>
    <m/>
    <x v="0"/>
  </r>
  <r>
    <s v="KARCHER "/>
    <x v="60"/>
    <s v="SP0000009936"/>
    <s v="EQUIPOS Y LIMPIEZA DE ALTO NIVEL"/>
    <s v="REFACCION"/>
    <n v="7668"/>
    <s v="INTERNO"/>
    <m/>
    <x v="0"/>
  </r>
  <r>
    <s v="KARCHER "/>
    <x v="61"/>
    <s v="SP0000009937"/>
    <s v="FIDEICOMISO F/1596"/>
    <s v="SERVICIO"/>
    <n v="1724.1379310344828"/>
    <s v="SERGIO AGUILERA"/>
    <m/>
    <x v="0"/>
  </r>
  <r>
    <s v="KARCHER "/>
    <x v="61"/>
    <s v="SP0000009938"/>
    <s v="FIDEICOMISO F/1596"/>
    <s v="REFACCION"/>
    <n v="857.72413793103453"/>
    <s v="SERGIO AGUILERA"/>
    <m/>
    <x v="0"/>
  </r>
  <r>
    <s v="KARCHER "/>
    <x v="62"/>
    <s v="SP0000009939"/>
    <s v="SUMINISTROS Y MANTENIMIENTO MIREL"/>
    <s v="ACCESORIO"/>
    <n v="1465.5172413793105"/>
    <s v="PISO"/>
    <m/>
    <x v="0"/>
  </r>
  <r>
    <s v="KARCHER "/>
    <x v="62"/>
    <s v="SP0000009940"/>
    <s v="VENTA MOSTRADOR"/>
    <s v="REFACCION-SERVICIO"/>
    <n v="1781.0000000000002"/>
    <s v="OSCAR RIVAS"/>
    <m/>
    <x v="0"/>
  </r>
  <r>
    <s v="KARCHER "/>
    <x v="62"/>
    <s v="SP0000009941"/>
    <s v="VENTA MOSTRADOR"/>
    <s v="REFACCION"/>
    <n v="775.86206896551732"/>
    <s v="PISO"/>
    <m/>
    <x v="0"/>
  </r>
  <r>
    <s v="KARCHER "/>
    <x v="63"/>
    <s v="SP0000009942"/>
    <s v="PREMEZCLADO EN SITIO"/>
    <s v="REVISION"/>
    <n v="344.82758620689657"/>
    <s v="OSCAR RIVAS"/>
    <m/>
    <x v="0"/>
  </r>
  <r>
    <s v="KARCHER "/>
    <x v="63"/>
    <s v="SP0000009943"/>
    <s v="INDEFACO"/>
    <s v="ACCESORIO"/>
    <n v="3879.3017241379312"/>
    <s v="PISO"/>
    <m/>
    <x v="0"/>
  </r>
  <r>
    <s v="KARCHER "/>
    <x v="64"/>
    <s v="SP0000009944"/>
    <s v="CLEANIG SOLUTIONS"/>
    <s v="EQUIPO PROFESIONAL"/>
    <n v="24000"/>
    <s v="RUBEN ARROYO"/>
    <s v="HIDROLAVADORA HD 6/15"/>
    <x v="0"/>
  </r>
  <r>
    <s v="KARCHER "/>
    <x v="64"/>
    <s v="SP0000009945"/>
    <s v="VENTA MOSTRADOR"/>
    <s v="ACCESORIO"/>
    <n v="129.31034482758622"/>
    <s v="PISO"/>
    <m/>
    <x v="0"/>
  </r>
  <r>
    <s v="KARCHER "/>
    <x v="64"/>
    <s v="SP0000009946"/>
    <s v="VENTA MOSTRADOR"/>
    <s v="EQUIPO HOME &amp; GARDEN"/>
    <n v="3103.4482758620693"/>
    <s v="PISO"/>
    <s v="HIDROLAVADORA K 2 INDUCTION"/>
    <x v="0"/>
  </r>
  <r>
    <s v="KARCHER "/>
    <x v="64"/>
    <s v="SP0000009947"/>
    <s v="VENTA MOSTRADOR"/>
    <s v="ACCESORIO"/>
    <n v="775.86206896551732"/>
    <s v="PISO"/>
    <m/>
    <x v="0"/>
  </r>
  <r>
    <s v="KARCHER "/>
    <x v="64"/>
    <s v="SP0000009948"/>
    <s v="VENTA MOSTRADOR"/>
    <s v="REFACCION-SERVICIO"/>
    <n v="1350.8620689655174"/>
    <s v="OSCAR RIVAS"/>
    <m/>
    <x v="0"/>
  </r>
  <r>
    <s v="KARCHER "/>
    <x v="65"/>
    <s v="SP0000009949"/>
    <s v="VENTA MOSTRADOR"/>
    <s v="EQUIPO HOME &amp; GARDEN"/>
    <n v="7593.0862068965516"/>
    <s v="INTERNO"/>
    <s v="HIDROLAVADORA K 2 INDUCTION"/>
    <x v="0"/>
  </r>
  <r>
    <s v="KARCHER "/>
    <x v="66"/>
    <s v="SP0000009950"/>
    <s v="EQUIPOS Y LIMPIEZA DE ALTO NIVEL"/>
    <s v="QUIMICO"/>
    <n v="131.12068965517241"/>
    <s v="INTERNO"/>
    <m/>
    <x v="0"/>
  </r>
  <r>
    <s v="KARCHER "/>
    <x v="67"/>
    <s v="SP0000009951"/>
    <s v="AUTOMOVILES LOMAS VERDES"/>
    <s v="REVISION"/>
    <n v="258.62068965517244"/>
    <s v="OSCAR RIVAS"/>
    <m/>
    <x v="0"/>
  </r>
  <r>
    <s v="KARCHER "/>
    <x v="67"/>
    <s v="SP0000009952"/>
    <s v="EQUIPOS Y LIMPIEZA DE ALTO NIVEL"/>
    <s v="REFACCION"/>
    <n v="315"/>
    <s v="INTERNO"/>
    <m/>
    <x v="0"/>
  </r>
  <r>
    <s v="KARCHER "/>
    <x v="67"/>
    <s v="SP0000009953"/>
    <s v="PARQUE ARTURO MUNDET"/>
    <s v="REFACCION"/>
    <n v="7149.0000000000009"/>
    <s v="SERGIO AGUILERA"/>
    <m/>
    <x v="0"/>
  </r>
  <r>
    <s v="KARCHER "/>
    <x v="67"/>
    <s v="SP0000009954"/>
    <s v="MANEJO DE CARGA Y SERVICIOS INTEGRALES MACSI"/>
    <s v="REFACCION-SERVICIO"/>
    <n v="3241"/>
    <s v="OSCAR RIVAS"/>
    <m/>
    <x v="0"/>
  </r>
  <r>
    <s v="KARCHER "/>
    <x v="68"/>
    <s v="SP0000009955"/>
    <s v="EQUIPOS Y LIMPIEZA DE ALTO NIVEL"/>
    <m/>
    <n v="0"/>
    <m/>
    <m/>
    <x v="0"/>
  </r>
  <r>
    <s v="KARCHER "/>
    <x v="68"/>
    <s v="SP0000009956"/>
    <s v="VENTA MOSTRADOR"/>
    <s v="REFACCION-SERVICIO"/>
    <n v="1188"/>
    <s v="OSCAR RIVAS"/>
    <m/>
    <x v="0"/>
  </r>
  <r>
    <s v="KARCHER "/>
    <x v="69"/>
    <s v="SP0000009957"/>
    <s v="EQUIPOS Y LIMPIEZA DE ALTO NIVEL"/>
    <s v="ACCESORIO"/>
    <n v="5886.0000000000009"/>
    <s v="INTERNO"/>
    <m/>
    <x v="0"/>
  </r>
  <r>
    <s v="KARCHER "/>
    <x v="70"/>
    <s v="SP0000009958"/>
    <s v="VENTA MOSTRADOR"/>
    <s v="REFACCION-SERVICIO"/>
    <n v="2188.8017241379312"/>
    <s v="OSCAR RIVAS"/>
    <m/>
    <x v="0"/>
  </r>
  <r>
    <s v="KARCHER "/>
    <x v="70"/>
    <s v="SP0000009959"/>
    <s v="VENTA MOSTRADOR"/>
    <s v="REFACCION"/>
    <n v="129.31034482758622"/>
    <s v="OSCAR RIVAS"/>
    <m/>
    <x v="0"/>
  </r>
  <r>
    <s v="KARCHER "/>
    <x v="70"/>
    <s v="SP0000009960"/>
    <s v="VENTA MOSTRADOR"/>
    <s v="REFACCION-SERVICIO"/>
    <n v="1591"/>
    <s v="OSCAR RIVAS"/>
    <m/>
    <x v="0"/>
  </r>
  <r>
    <s v="KARCHER "/>
    <x v="70"/>
    <s v="SP0000009961"/>
    <s v="VENTA MOSTRADOR"/>
    <s v="REFACCION-SERVICIO"/>
    <n v="1306.0000000000002"/>
    <s v="OSCAR RIVAS"/>
    <m/>
    <x v="0"/>
  </r>
  <r>
    <s v="KARCHER "/>
    <x v="70"/>
    <s v="SP0000009962"/>
    <s v="MARITIMOS JC"/>
    <s v="REFACCION-SERVICIO"/>
    <n v="620.68965517241384"/>
    <s v="OSCAR RIVAS"/>
    <m/>
    <x v="0"/>
  </r>
  <r>
    <s v="KARCHER "/>
    <x v="71"/>
    <s v="SP0000009963"/>
    <s v="VENTA MOSTRADOR"/>
    <s v="ACCESORIO"/>
    <n v="4570.6724137931033"/>
    <s v="PISO"/>
    <m/>
    <x v="0"/>
  </r>
  <r>
    <s v="KARCHER "/>
    <x v="71"/>
    <s v="SP0000009964"/>
    <s v="VENTA MOSTRADOR"/>
    <s v="ACCESORIO"/>
    <n v="189.65517241379311"/>
    <s v="PISO"/>
    <m/>
    <x v="0"/>
  </r>
  <r>
    <s v="KARCHER "/>
    <x v="71"/>
    <s v="SP0000009965"/>
    <s v="VENTA MOSTRADOR"/>
    <s v="REVISION"/>
    <n v="258.62068965517244"/>
    <s v="OSCAR RIVAS"/>
    <m/>
    <x v="0"/>
  </r>
  <r>
    <s v="KARCHER "/>
    <x v="71"/>
    <s v="SP0000009966"/>
    <s v="VENTA MOSTRADOR"/>
    <s v="REFACCION-SERVICIO"/>
    <n v="1002"/>
    <s v="OSCAR RIVAS"/>
    <m/>
    <x v="0"/>
  </r>
  <r>
    <s v="KARCHER "/>
    <x v="71"/>
    <s v="SP0000009967"/>
    <s v="VENTA MOSTRADOR"/>
    <s v="ACCESORIO"/>
    <n v="215.51724137931035"/>
    <s v="PISO"/>
    <m/>
    <x v="0"/>
  </r>
  <r>
    <s v="KARCHER "/>
    <x v="71"/>
    <s v="SP0000009968"/>
    <s v="VENTA MOSTRADOR"/>
    <s v="REFACCION-SERVICIO"/>
    <n v="4642.0000000000009"/>
    <s v="OSCAR RIVAS"/>
    <m/>
    <x v="0"/>
  </r>
  <r>
    <s v="KARCHER "/>
    <x v="72"/>
    <s v="SP0000009969"/>
    <s v="ABASTECEDOR TERAPEUTICO"/>
    <s v="SERVICIO"/>
    <n v="1500"/>
    <s v="SERGIO AGUILERA"/>
    <m/>
    <x v="0"/>
  </r>
  <r>
    <s v="KARCHER "/>
    <x v="72"/>
    <s v="SP0000009970"/>
    <s v="NAFI ABASTECIMIENTOS"/>
    <s v="REFACCION"/>
    <n v="810.34482758620697"/>
    <s v="OSCAR RIVAS"/>
    <m/>
    <x v="0"/>
  </r>
  <r>
    <s v="KARCHER "/>
    <x v="72"/>
    <s v="SP0000009971"/>
    <s v="CABLES Y HULES"/>
    <s v="REVISION"/>
    <n v="258.62068965517244"/>
    <s v="OSCAR RIVAS"/>
    <m/>
    <x v="0"/>
  </r>
  <r>
    <s v="KARCHER "/>
    <x v="72"/>
    <s v="SP0000009972"/>
    <s v="VENTA MOSTRADOR"/>
    <s v="REFACCION-SERVICIO"/>
    <n v="3778"/>
    <s v="OSCAR RIVAS"/>
    <m/>
    <x v="0"/>
  </r>
  <r>
    <s v="KARCHER "/>
    <x v="72"/>
    <s v="SP0000009973"/>
    <s v="VENTA MOSTRADOR"/>
    <s v="ACCESORIO"/>
    <n v="1465.5172413793105"/>
    <s v="PISO"/>
    <m/>
    <x v="0"/>
  </r>
  <r>
    <s v="KARCHER "/>
    <x v="73"/>
    <s v="SP0000009974"/>
    <s v="VENTA MOSTRADOR"/>
    <s v="REFACCION-SERVICIO"/>
    <n v="2567"/>
    <s v="OSCAR RIVAS"/>
    <m/>
    <x v="0"/>
  </r>
  <r>
    <s v="KARCHER "/>
    <x v="74"/>
    <s v="SP0000009975"/>
    <s v="VENTA MOSTRADOR"/>
    <s v="ACCESORIO"/>
    <n v="4183"/>
    <s v="PISO"/>
    <m/>
    <x v="0"/>
  </r>
  <r>
    <s v="KARCHER "/>
    <x v="74"/>
    <s v="SP0000009976"/>
    <s v="VENTA MOSTRADOR"/>
    <s v="REVISION"/>
    <n v="258.62068965517244"/>
    <s v="OSCAR RIVAS"/>
    <m/>
    <x v="0"/>
  </r>
  <r>
    <s v="KARCHER "/>
    <x v="74"/>
    <s v="SP0000009977"/>
    <s v="SERGIO MIGUEL AGUILERA BLANCO"/>
    <s v="ACCESORIO"/>
    <n v="310.34482758620692"/>
    <s v="PISO"/>
    <m/>
    <x v="0"/>
  </r>
  <r>
    <s v="KARCHER "/>
    <x v="75"/>
    <s v="SP0000009978"/>
    <s v="MAQUE CAFÉ"/>
    <s v="REFACCION"/>
    <n v="301.72413793103448"/>
    <s v="OSCAR RIVAS"/>
    <m/>
    <x v="0"/>
  </r>
  <r>
    <s v="KARCHER "/>
    <x v="76"/>
    <s v="SP0000009979"/>
    <s v="CALIDAD EN SISTEMAS DE LIMPIEZA"/>
    <m/>
    <n v="0"/>
    <m/>
    <m/>
    <x v="0"/>
  </r>
  <r>
    <s v="KARCHER "/>
    <x v="77"/>
    <s v="SP0000009980"/>
    <s v="MULTIELECTRICA INDUSTRIAL "/>
    <s v="ACCESORIO"/>
    <n v="2133.6206896551726"/>
    <s v="PISO"/>
    <m/>
    <x v="0"/>
  </r>
  <r>
    <s v="KARCHER "/>
    <x v="77"/>
    <s v="SP0000009981"/>
    <s v="PARTNERTASTE"/>
    <s v="ACCESORIO"/>
    <n v="1724.1379310344828"/>
    <s v="PISO"/>
    <m/>
    <x v="0"/>
  </r>
  <r>
    <s v="KARCHER "/>
    <x v="77"/>
    <s v="SP0000009982"/>
    <s v="CRISTOPHER ANDRES OROPEZA PEREZ"/>
    <s v="REFACCION-SERVICIO"/>
    <n v="836.20689655172418"/>
    <s v="OSCAR RIVAS"/>
    <m/>
    <x v="0"/>
  </r>
  <r>
    <s v="KARCHER "/>
    <x v="77"/>
    <s v="SP0000009983"/>
    <s v="CANCELADA"/>
    <m/>
    <n v="0"/>
    <m/>
    <m/>
    <x v="0"/>
  </r>
  <r>
    <s v="KARCHER "/>
    <x v="77"/>
    <s v="SP0000009984"/>
    <s v="FRANCISCO LARESGOITI HERNANDEZ"/>
    <s v="REFACCION-SERVICIO"/>
    <n v="1786.0000000000002"/>
    <s v="OSCAR RIVAS"/>
    <m/>
    <x v="0"/>
  </r>
  <r>
    <s v="KARCHER "/>
    <x v="77"/>
    <s v="SP0000009985"/>
    <s v="GILDARDO CAMPOS BOJORQUEZ"/>
    <s v="ACCESORIO"/>
    <n v="1034.4827586206898"/>
    <s v="PISO"/>
    <m/>
    <x v="0"/>
  </r>
  <r>
    <s v="KARCHER "/>
    <x v="77"/>
    <s v="SP0000009986"/>
    <s v="CONSTRUCCIONES INTEGRALES OLM"/>
    <s v="ACCESORIO"/>
    <n v="129.31034482758622"/>
    <s v="PISO"/>
    <m/>
    <x v="0"/>
  </r>
  <r>
    <s v="KARCHER "/>
    <x v="77"/>
    <s v="SP0000009987"/>
    <s v="JORGE IVAN LOPEZ OCHOA"/>
    <s v="REFACCION-SERVICIO"/>
    <n v="3331.0000000000005"/>
    <s v="OSCAR RIVAS"/>
    <m/>
    <x v="0"/>
  </r>
  <r>
    <s v="KARCHER "/>
    <x v="78"/>
    <s v="SP0000009988"/>
    <s v="VENTA MOSTRADOR"/>
    <s v="ACCESORIO"/>
    <n v="258.62068965517244"/>
    <s v="PISO"/>
    <m/>
    <x v="0"/>
  </r>
  <r>
    <s v="KARCHER "/>
    <x v="78"/>
    <s v="SP0000009989"/>
    <s v="VENTA MOSTRADOR"/>
    <s v="REFACCION"/>
    <n v="43.103448275862071"/>
    <s v="OSCAR RIVAS"/>
    <m/>
    <x v="0"/>
  </r>
  <r>
    <s v="KARCHER "/>
    <x v="78"/>
    <s v="SP0000009990"/>
    <s v="VENTA MOSTRADOR"/>
    <s v="ACCESORIO"/>
    <n v="258.62068965517244"/>
    <s v="PISO"/>
    <m/>
    <x v="0"/>
  </r>
  <r>
    <s v="KARCHER "/>
    <x v="78"/>
    <s v="SP0000009991"/>
    <s v="VENTA MOSTRADOR"/>
    <s v="ACCESORIO"/>
    <n v="362.06896551724139"/>
    <s v="PISO"/>
    <m/>
    <x v="0"/>
  </r>
  <r>
    <s v="KARCHER "/>
    <x v="78"/>
    <s v="SP0000009992"/>
    <s v="VENTA MOSTRADOR"/>
    <s v="REVISION"/>
    <n v="258.62068965517244"/>
    <s v="OSCAR RIVAS"/>
    <m/>
    <x v="0"/>
  </r>
  <r>
    <s v="KARCHER "/>
    <x v="78"/>
    <s v="SP0000009993"/>
    <s v="VENTA MOSTRADOR"/>
    <s v="REVISION"/>
    <n v="258.62068965517244"/>
    <s v="OSCAR RIVAS"/>
    <m/>
    <x v="0"/>
  </r>
  <r>
    <s v="KARCHER "/>
    <x v="78"/>
    <s v="SP0000009994"/>
    <s v="VENTA MOSTRADOR"/>
    <s v="REFACCION-SERVICIO"/>
    <n v="1520.0000000000002"/>
    <s v="OSCAR RIVAS"/>
    <m/>
    <x v="0"/>
  </r>
  <r>
    <s v="KARCHER "/>
    <x v="78"/>
    <s v="SP0000009995"/>
    <s v="VENTA MOSTRADOR"/>
    <s v="ACCESORIO"/>
    <n v="387.93103448275866"/>
    <s v="PISO"/>
    <m/>
    <x v="0"/>
  </r>
  <r>
    <s v="KARCHER "/>
    <x v="78"/>
    <s v="SP0000009996"/>
    <s v="VENTA MOSTRADOR"/>
    <s v="ACCESORIO"/>
    <n v="1465.5172413793105"/>
    <s v="PISO"/>
    <m/>
    <x v="0"/>
  </r>
  <r>
    <s v="KARCHER "/>
    <x v="79"/>
    <s v="SP0000009997"/>
    <s v="CANCELADA"/>
    <m/>
    <n v="0"/>
    <m/>
    <m/>
    <x v="0"/>
  </r>
  <r>
    <s v="KARCHER "/>
    <x v="79"/>
    <s v="SP0000009998"/>
    <s v="ALLDATA"/>
    <s v="REFACCION-SERVICIO"/>
    <n v="593.10344827586209"/>
    <s v="OSCAR RIVAS"/>
    <m/>
    <x v="0"/>
  </r>
  <r>
    <s v="KARCHER "/>
    <x v="79"/>
    <s v="SP0000009999"/>
    <s v="ENVASES UNIVERSALES DE MEXICO"/>
    <s v="ACCESORIO"/>
    <n v="13398.000000000002"/>
    <s v="SERGIO"/>
    <m/>
    <x v="0"/>
  </r>
  <r>
    <s v="KARCHER "/>
    <x v="79"/>
    <s v="SP0000010000"/>
    <s v="ENVASES UNIVERSALES DE MEXICO"/>
    <s v="EQUIPO PROFESIONAL"/>
    <n v="27000.000000000004"/>
    <s v="RUBEN ARROYO"/>
    <s v="HIDROLAVADORA HD 6/15"/>
    <x v="0"/>
  </r>
  <r>
    <s v="KARCHER "/>
    <x v="80"/>
    <s v="SP0000010002"/>
    <s v="VENTA MOSTRADOR"/>
    <s v="REFACCION-SERVICIO"/>
    <n v="2242"/>
    <s v="OSCAR RIVAS"/>
    <m/>
    <x v="0"/>
  </r>
  <r>
    <s v="KARCHER "/>
    <x v="81"/>
    <s v="SP0000010003"/>
    <s v="DEVELOPMENT FACTOR"/>
    <s v="ACCESORIO"/>
    <n v="172.41379310344828"/>
    <s v="OSCAR RIVAS"/>
    <m/>
    <x v="0"/>
  </r>
  <r>
    <s v="KARCHER "/>
    <x v="81"/>
    <s v="SP0000010004"/>
    <s v="EQUIPOS Y LIMPIEZA DE ALTO NIVEL"/>
    <m/>
    <n v="98440"/>
    <s v="OSCAR GUERRERO"/>
    <m/>
    <x v="0"/>
  </r>
  <r>
    <s v="KARCHER "/>
    <x v="81"/>
    <s v="SP0000010005"/>
    <s v="EQUIPOS Y LIMPIEZA DE ALTO NIVEL"/>
    <m/>
    <n v="918.00000000000011"/>
    <s v="INTERNO"/>
    <m/>
    <x v="0"/>
  </r>
  <r>
    <s v="KARCHER "/>
    <x v="81"/>
    <s v="SP0000010006"/>
    <s v="EQUIPOS Y LIMPIEZA DE ALTO NIVEL"/>
    <m/>
    <n v="5556.120689655173"/>
    <s v="OSCAR GUERRERO"/>
    <m/>
    <x v="0"/>
  </r>
  <r>
    <s v="KARCHER "/>
    <x v="82"/>
    <s v="SP0000010007"/>
    <s v="GONCALVES DE MEXICO"/>
    <m/>
    <n v="18650"/>
    <s v="ARTURO BERRUECOS"/>
    <m/>
    <x v="0"/>
  </r>
  <r>
    <s v="KARCHER "/>
    <x v="82"/>
    <s v="SP0000010008"/>
    <s v="INGENIERIA MEXICANA PROMOTORA DE DESARROLLO"/>
    <s v="REFACCION"/>
    <n v="1120.6896551724139"/>
    <s v="PISO"/>
    <m/>
    <x v="0"/>
  </r>
  <r>
    <s v="KARCHER "/>
    <x v="83"/>
    <s v="SP0000010009"/>
    <s v="FERBEL NORTE"/>
    <s v="REFACCION-SERVICIO"/>
    <n v="7616"/>
    <s v="OSCAR RIVAS"/>
    <m/>
    <x v="0"/>
  </r>
  <r>
    <s v="KARCHER "/>
    <x v="83"/>
    <s v="SP0000010010"/>
    <s v="ALIMENTOS DE LA GRANJA"/>
    <s v="ACCESORIO"/>
    <n v="8400"/>
    <s v="RUBEN ARROYO"/>
    <m/>
    <x v="0"/>
  </r>
  <r>
    <s v="KARCHER "/>
    <x v="84"/>
    <s v="SP0000010011"/>
    <s v="ROCIO DEL PRADO MOLINA"/>
    <s v="REFACCION-SERVICIO"/>
    <n v="1746"/>
    <s v="OSCAR RIVAS"/>
    <m/>
    <x v="0"/>
  </r>
  <r>
    <s v="KARCHER "/>
    <x v="84"/>
    <s v="SP0000010012"/>
    <s v="VICTOR FRANCO DE LOS SANTOS"/>
    <s v="ACCESORIO"/>
    <n v="1618.9741379310346"/>
    <s v="PISO"/>
    <m/>
    <x v="0"/>
  </r>
  <r>
    <s v="KARCHER "/>
    <x v="84"/>
    <s v="SP0000010013"/>
    <s v="INGENIERIA MEXICANA PROMOTORA DE DESARROLLO"/>
    <s v="REFACCION"/>
    <n v="1120.6896551724139"/>
    <s v="PISO"/>
    <m/>
    <x v="0"/>
  </r>
  <r>
    <s v="KARCHER "/>
    <x v="85"/>
    <s v="SP0000010014"/>
    <s v="AXIOMA CONSTRUCCIONES"/>
    <s v="REFACCION-SERVICIO"/>
    <n v="1782"/>
    <s v="OSCAR RIVAS"/>
    <m/>
    <x v="0"/>
  </r>
  <r>
    <s v="KARCHER "/>
    <x v="85"/>
    <s v="SP0000010015"/>
    <s v="VENTA MOSTRADOR"/>
    <s v="REFACCION-SERVICIO"/>
    <n v="413.79310344827587"/>
    <s v="OSCAR RIVAS"/>
    <m/>
    <x v="0"/>
  </r>
  <r>
    <s v="KARCHER "/>
    <x v="85"/>
    <s v="SP0000010016"/>
    <s v="VENTA MOSTRADOR"/>
    <s v="REFACCION-SERVICIO"/>
    <n v="1316"/>
    <s v="OSCAR RIVAS"/>
    <m/>
    <x v="0"/>
  </r>
  <r>
    <s v="KARCHER "/>
    <x v="85"/>
    <s v="SP0000010017"/>
    <s v="VENTA MOSTRADOR"/>
    <s v="ACCESORIO"/>
    <n v="474.13793103448279"/>
    <s v="PISO"/>
    <m/>
    <x v="0"/>
  </r>
  <r>
    <s v="KARCHER "/>
    <x v="85"/>
    <s v="SP0000010018"/>
    <s v="VENTA MOSTRADOR"/>
    <s v="REFACCION"/>
    <n v="215.51724137931035"/>
    <s v="OSCAR RIVAS"/>
    <m/>
    <x v="0"/>
  </r>
  <r>
    <s v="KARCHER "/>
    <x v="85"/>
    <s v="SP0000010019"/>
    <s v="VENTA MOSTRADOR"/>
    <s v="REFACCION"/>
    <n v="1380"/>
    <s v="OSCAR RIVAS"/>
    <m/>
    <x v="0"/>
  </r>
  <r>
    <s v="KARCHER "/>
    <x v="86"/>
    <s v="SP0000010020"/>
    <s v="VENTA MOSTRADOR"/>
    <s v="REFACCION-SERVICIO"/>
    <n v="1232.7586206896553"/>
    <s v="OSCAR RIVAS"/>
    <m/>
    <x v="0"/>
  </r>
  <r>
    <s v="KARCHER "/>
    <x v="86"/>
    <s v="SP0000010021"/>
    <s v="FERNANDO LORA FRANCO"/>
    <s v="REFACCION-SERVICIO"/>
    <n v="7345.0000000000009"/>
    <s v="OSCAR RIVAS"/>
    <m/>
    <x v="0"/>
  </r>
  <r>
    <s v="KARCHER "/>
    <x v="86"/>
    <s v="SP0000010022"/>
    <s v="EQUIPOS Y LIMPIEZA DE ALTO NIVEL"/>
    <m/>
    <n v="0"/>
    <m/>
    <m/>
    <x v="0"/>
  </r>
  <r>
    <s v="KARCHER "/>
    <x v="87"/>
    <s v="SP0000010023"/>
    <s v="TALLERES UNIDOS CHETO"/>
    <s v="ACCESORIO"/>
    <n v="1810.3534482758623"/>
    <s v="PISO"/>
    <m/>
    <x v="0"/>
  </r>
  <r>
    <s v="KARCHER "/>
    <x v="87"/>
    <s v="SP0000010024"/>
    <s v="EQUIPOS Y LIMPIEZA DE ALTO NIVEL"/>
    <m/>
    <n v="397"/>
    <s v="INTERNO"/>
    <m/>
    <x v="0"/>
  </r>
  <r>
    <s v="KARCHER "/>
    <x v="87"/>
    <s v="SP0000010025"/>
    <s v="EQUIPOS Y LIMPIEZA DE ALTO NIVEL"/>
    <m/>
    <n v="396.00000000000006"/>
    <s v="INTERNO"/>
    <m/>
    <x v="0"/>
  </r>
  <r>
    <s v="KARCHER "/>
    <x v="87"/>
    <s v="SP0000010026"/>
    <s v="VENTA MOSTRADOR"/>
    <s v="ACCESORIO"/>
    <n v="1724.1379310344828"/>
    <s v="PISO"/>
    <m/>
    <x v="0"/>
  </r>
  <r>
    <s v="KARCHER "/>
    <x v="88"/>
    <s v="SP0000010027"/>
    <s v="EQUIPOS Y LIMPIEZA DE ALTO NIVEL"/>
    <m/>
    <n v="1021.8362068965517"/>
    <s v="INTERNO"/>
    <m/>
    <x v="0"/>
  </r>
  <r>
    <s v="KARCHER "/>
    <x v="88"/>
    <s v="SP0000010028"/>
    <s v="VENTA MOSTRADOR"/>
    <s v="ACCESORIO"/>
    <n v="487.19827586206895"/>
    <s v="PISO"/>
    <m/>
    <x v="0"/>
  </r>
  <r>
    <s v="KARCHER "/>
    <x v="88"/>
    <s v="SP0000010029"/>
    <s v="VENTA MOSTRADOR"/>
    <s v="REFACCION-SERVICIO"/>
    <n v="2772"/>
    <s v="OSCAR RIVAS"/>
    <m/>
    <x v="0"/>
  </r>
  <r>
    <s v="KARCHER "/>
    <x v="88"/>
    <s v="SP0000010030"/>
    <s v="EQUIPOS Y LIMPIEZA DE ALTO NIVEL"/>
    <m/>
    <n v="563.00000000000011"/>
    <s v="INTERNO"/>
    <m/>
    <x v="0"/>
  </r>
  <r>
    <s v="KARCHER "/>
    <x v="89"/>
    <s v="SP0000010031"/>
    <s v="VENTA MOSTRADOR"/>
    <s v="EQUIPO HOME &amp; GARDEN"/>
    <n v="3103.4482758620693"/>
    <s v="PISO"/>
    <s v="HIDROLAVADORA K 2 INDUCTION"/>
    <x v="0"/>
  </r>
  <r>
    <s v="KARCHER "/>
    <x v="89"/>
    <s v="SP0000010032"/>
    <s v="CANCELADA"/>
    <m/>
    <n v="0"/>
    <m/>
    <m/>
    <x v="0"/>
  </r>
  <r>
    <s v="KARCHER "/>
    <x v="90"/>
    <s v="SP0000010033"/>
    <s v="RENTA DE MAQUINARIA PESADA PIRAMIDE"/>
    <s v="EQUIPO PROFESIONAL"/>
    <n v="29800.000000000004"/>
    <s v="RUBEN ARROYO"/>
    <s v="HIDROLAVADORA HD 9/25"/>
    <x v="0"/>
  </r>
  <r>
    <s v="KARCHER "/>
    <x v="90"/>
    <s v="SP0000010034"/>
    <s v="VENTA MOSTRADOR"/>
    <s v="REFACCION-SERVICIO"/>
    <n v="1188"/>
    <s v="OSCAR RIVAS"/>
    <m/>
    <x v="0"/>
  </r>
  <r>
    <s v="KARCHER "/>
    <x v="90"/>
    <s v="SP0000010035"/>
    <s v="VENTA MOSTRADOR"/>
    <s v="REFACCION-SERVICIO"/>
    <n v="4327.5862068965516"/>
    <s v="OSCAR RIVAS"/>
    <m/>
    <x v="0"/>
  </r>
  <r>
    <s v="KARCHER "/>
    <x v="90"/>
    <s v="SP0000010036"/>
    <s v="MIGUEL ANGEL GARCIA RUIZ"/>
    <s v="EQUIPO HOME &amp; GARDEN"/>
    <n v="3103.4482758620693"/>
    <s v="PISO"/>
    <s v="HIDROLAVADORA K 2 INDUCTION"/>
    <x v="0"/>
  </r>
  <r>
    <s v="KARCHER "/>
    <x v="90"/>
    <s v="SP0000010037"/>
    <s v="VENTA MOSTRADOR"/>
    <s v="EQUIPO HOME &amp; GARDEN"/>
    <n v="1982.7586206896553"/>
    <s v="PISO"/>
    <s v="ESCOBA KB 5"/>
    <x v="0"/>
  </r>
  <r>
    <s v="KARCHER "/>
    <x v="90"/>
    <s v="SP0000010038"/>
    <s v="VENTA MOSTRADOR"/>
    <s v="REFACCION-SERVICIO"/>
    <n v="2012.0000000000002"/>
    <s v="OSCAR RIVAS"/>
    <m/>
    <x v="0"/>
  </r>
  <r>
    <s v="KARCHER "/>
    <x v="91"/>
    <s v="SP0000010039"/>
    <s v="VENTA MOSTRADOR"/>
    <s v="REFACCION-SERVICIO"/>
    <n v="1574.1379310344828"/>
    <s v="OSCAR RIVAS"/>
    <m/>
    <x v="0"/>
  </r>
  <r>
    <s v="KARCHER "/>
    <x v="92"/>
    <s v="SP0000010040"/>
    <s v="VENTA MOSTRADOR"/>
    <s v="REFACCION-SERVICIO"/>
    <n v="2770"/>
    <s v="OSCAR RIVAS"/>
    <m/>
    <x v="0"/>
  </r>
  <r>
    <s v="KARCHER "/>
    <x v="92"/>
    <s v="SP0000010041"/>
    <s v="VENTA MOSTRADOR"/>
    <s v="ACCESORIO"/>
    <n v="1465.5172413793105"/>
    <s v="PISO"/>
    <m/>
    <x v="0"/>
  </r>
  <r>
    <s v="KARCHER "/>
    <x v="92"/>
    <s v="SP0000010042"/>
    <s v="VENTA MOSTRADOR"/>
    <s v="ACCESORIO"/>
    <n v="1035"/>
    <s v="PISO"/>
    <m/>
    <x v="0"/>
  </r>
  <r>
    <s v="KARCHER "/>
    <x v="93"/>
    <s v="SP0000010043"/>
    <s v="VENTA MOSTRADOR"/>
    <s v="QUIMICO"/>
    <n v="3362.0689655172414"/>
    <s v="PISO"/>
    <m/>
    <x v="0"/>
  </r>
  <r>
    <s v="KARCHER "/>
    <x v="94"/>
    <s v="SP0000010044"/>
    <s v="EQUIPOS Y LIMPIEZA DE ALTO NIVEL"/>
    <m/>
    <n v="0"/>
    <m/>
    <m/>
    <x v="0"/>
  </r>
  <r>
    <s v="KARCHER "/>
    <x v="94"/>
    <s v="SP0000010045"/>
    <s v="VENTA MOSTRADOR"/>
    <s v="REFACCION-SERVICIO"/>
    <n v="3692.0000000000005"/>
    <s v="OSCAR RIVAS"/>
    <m/>
    <x v="0"/>
  </r>
  <r>
    <s v="KARCHER "/>
    <x v="94"/>
    <s v="SP0000010046"/>
    <s v="VENTA MOSTRADOR"/>
    <s v="REFACCION-SERVICIO"/>
    <n v="1124"/>
    <s v="OSCAR RIVAS"/>
    <m/>
    <x v="0"/>
  </r>
  <r>
    <s v="KARCHER "/>
    <x v="95"/>
    <s v="SP0000010047"/>
    <s v="BESSER AUTOPARTES"/>
    <s v="ACCESORIO"/>
    <n v="474.13793103448279"/>
    <s v="PISO"/>
    <m/>
    <x v="0"/>
  </r>
  <r>
    <s v="KARCHER "/>
    <x v="95"/>
    <s v="SP0000010048"/>
    <s v="VENTA MOSTRADOR"/>
    <s v="REFACCION-SERVICIO"/>
    <n v="953.00000000000011"/>
    <s v="OSCAR RIVAS"/>
    <m/>
    <x v="0"/>
  </r>
  <r>
    <s v="KARCHER "/>
    <x v="96"/>
    <s v="SP0000010049"/>
    <s v="VENTA MOSTRADOR"/>
    <s v="ACCESORIO"/>
    <n v="1465.5172413793105"/>
    <s v="OSCAR RIVAS"/>
    <m/>
    <x v="0"/>
  </r>
  <r>
    <s v="KARCHER "/>
    <x v="96"/>
    <s v="SP0000010050"/>
    <s v="EQUIPOS Y LIMPIEZA DE ALTO NIVEL"/>
    <s v="REFACCION"/>
    <n v="3728"/>
    <s v="INTERNO"/>
    <m/>
    <x v="0"/>
  </r>
  <r>
    <s v="KARCHER "/>
    <x v="97"/>
    <s v="SP0000010051"/>
    <s v="CANCELADA"/>
    <m/>
    <n v="0"/>
    <m/>
    <m/>
    <x v="0"/>
  </r>
  <r>
    <s v="KARCHER "/>
    <x v="97"/>
    <s v="SP0000010052"/>
    <s v="VENTA MOSTRADOR"/>
    <s v="REFACCION-SERVICIO"/>
    <n v="1373.0000000000002"/>
    <s v="OSCAR RIVAS"/>
    <m/>
    <x v="0"/>
  </r>
  <r>
    <s v="KARCHER "/>
    <x v="97"/>
    <s v="SP0000010053"/>
    <s v="VENTA MOSTRADOR"/>
    <s v="REFACCION-SERVICIO"/>
    <n v="3268.0000000000005"/>
    <s v="OSCAR RIVAS"/>
    <m/>
    <x v="0"/>
  </r>
  <r>
    <s v="KARCHER "/>
    <x v="98"/>
    <s v="SP0000010054"/>
    <s v="VENTA MOSTRADOR"/>
    <s v="REFACCION-SERVICIO"/>
    <n v="2350"/>
    <s v="OSCAR RIVAS"/>
    <m/>
    <x v="0"/>
  </r>
  <r>
    <s v="KARCHER "/>
    <x v="99"/>
    <s v="SP0000010055"/>
    <s v="CONSTRUCCIONES NEMAEL"/>
    <s v="EQUIPO HOME &amp; GARDEN"/>
    <n v="1724.1379310344828"/>
    <s v="RUBEN ARROYO"/>
    <s v="ASPIRADORA WD 1"/>
    <x v="0"/>
  </r>
  <r>
    <s v="KARCHER "/>
    <x v="99"/>
    <s v="SP0000010056"/>
    <s v="EQUIPOS Y LIMPIEZA DE ALTO NIVEL"/>
    <s v="REFACCION"/>
    <n v="1576.7241379310346"/>
    <s v="INTERNO"/>
    <m/>
    <x v="0"/>
  </r>
  <r>
    <s v="KARCHER "/>
    <x v="99"/>
    <s v="SP0000010057"/>
    <s v="VENTA MOSTRADOR"/>
    <s v="REFACCION-SERVICIO"/>
    <n v="4468.1034482758623"/>
    <s v="OSCAR RIVAS"/>
    <m/>
    <x v="0"/>
  </r>
  <r>
    <s v="KARCHER "/>
    <x v="99"/>
    <s v="SP0000010058"/>
    <s v="EQUIPOS Y LIMPIEZA DE ALTO NIVEL"/>
    <m/>
    <n v="0"/>
    <m/>
    <m/>
    <x v="0"/>
  </r>
  <r>
    <s v="KARCHER "/>
    <x v="100"/>
    <s v="SP0000010059"/>
    <s v="VENTA MOSTRADOR"/>
    <s v="EQUIPO HOME &amp; GARDEN"/>
    <n v="2931.8965517241381"/>
    <s v="ANDREA GONZALEZ"/>
    <s v="ASPIRADORA VC 3"/>
    <x v="0"/>
  </r>
  <r>
    <s v="KARCHER "/>
    <x v="100"/>
    <s v="SP0000010060"/>
    <s v="VENTA MOSTRADOR"/>
    <s v="REFACCION-SERVICIO"/>
    <n v="1429.0000000000002"/>
    <s v="OSCAR RIVAS"/>
    <m/>
    <x v="0"/>
  </r>
  <r>
    <s v="KARCHER "/>
    <x v="101"/>
    <s v="SP0000010061"/>
    <s v="EMBUTIDOS FINOS LOS ANGELES"/>
    <s v="EQUIPO PROFESIONAL"/>
    <n v="24000"/>
    <s v="RUBEN ARROYO"/>
    <s v="HIDROLAVADORA HD 6/15"/>
    <x v="0"/>
  </r>
  <r>
    <s v="KARCHER "/>
    <x v="101"/>
    <s v="SP0000010062"/>
    <s v="VENTA MOSTRADOR"/>
    <s v="REFACCION-SERVICIO"/>
    <n v="3742.0000000000005"/>
    <s v="OSCAR RIVAS"/>
    <m/>
    <x v="0"/>
  </r>
  <r>
    <s v="KARCHER "/>
    <x v="101"/>
    <s v="SP0000010063"/>
    <s v="UNIMETAL SOLDADURAS"/>
    <s v="REFACCION-SERVICIO"/>
    <n v="1070"/>
    <s v="OSCAR RIVAS"/>
    <m/>
    <x v="0"/>
  </r>
  <r>
    <s v="KARCHER "/>
    <x v="102"/>
    <s v="SP0000010064"/>
    <s v="VENTA MOSTRADOR"/>
    <s v="REFACCION"/>
    <n v="810.35344827586209"/>
    <s v="OSCAR RIVAS"/>
    <m/>
    <x v="0"/>
  </r>
  <r>
    <s v="KARCHER "/>
    <x v="102"/>
    <s v="SP0000010065"/>
    <s v="VENTA MOSTRADOR"/>
    <s v="ACCESORIO"/>
    <n v="258.66379310344831"/>
    <s v="PISO"/>
    <m/>
    <x v="0"/>
  </r>
  <r>
    <s v="KARCHER "/>
    <x v="102"/>
    <s v="SP0000010066"/>
    <s v="EMBUTIDOS FINOS LOS ANGELES"/>
    <s v="ACCESORIO"/>
    <n v="3850.0000000000005"/>
    <s v="RUBEN ARROYO"/>
    <m/>
    <x v="0"/>
  </r>
  <r>
    <s v="KARCHER "/>
    <x v="103"/>
    <s v="SP0000010067"/>
    <s v="OPERADORA DE COLEDGIOS LA SALLE"/>
    <s v="ACCESORIO"/>
    <n v="1594.8275862068967"/>
    <s v="PISO"/>
    <m/>
    <x v="0"/>
  </r>
  <r>
    <s v="KARCHER "/>
    <x v="103"/>
    <s v="SP0000010068"/>
    <s v="ABASTECEDOR TERAPEUTICO"/>
    <s v="REFACCION-SERVICIO"/>
    <n v="1600"/>
    <s v="SERGIO AGUILERA"/>
    <m/>
    <x v="0"/>
  </r>
  <r>
    <s v="KARCHER "/>
    <x v="104"/>
    <s v="SP0000010069"/>
    <s v="CLUB DE FUTBOL CRUZ AZUL"/>
    <s v="REFACCION-SERVICIO"/>
    <n v="3940"/>
    <s v="RUBEN ARROYO"/>
    <m/>
    <x v="0"/>
  </r>
  <r>
    <s v="KARCHER "/>
    <x v="104"/>
    <s v="SP0000010070"/>
    <s v="VENTA MOSTRADOR"/>
    <s v="REVISION"/>
    <n v="258.62068965517244"/>
    <s v="OSCAR RIVAS"/>
    <m/>
    <x v="0"/>
  </r>
  <r>
    <s v="KARCHER "/>
    <x v="104"/>
    <s v="SP0000010071"/>
    <s v="VENTA MOSTRADOR"/>
    <s v="REFACCION-SERVICIO"/>
    <n v="302.27586206896552"/>
    <s v="OSCAR RIVAS"/>
    <m/>
    <x v="0"/>
  </r>
  <r>
    <s v="KARCHER "/>
    <x v="104"/>
    <s v="SP0000010072"/>
    <s v="VENTA MOSTRADOR"/>
    <s v="REFACCION-SERVICIO"/>
    <n v="1118.0000000000002"/>
    <s v="OSCAR RIVAS"/>
    <m/>
    <x v="0"/>
  </r>
  <r>
    <s v="KARCHER "/>
    <x v="104"/>
    <s v="SP0000010073"/>
    <s v="VENTA MOSTRADOR"/>
    <s v="REVISION"/>
    <n v="258.62068965517244"/>
    <s v="OSCAR RIVAS"/>
    <m/>
    <x v="0"/>
  </r>
  <r>
    <s v="KARCHER "/>
    <x v="105"/>
    <s v="SP0000010074"/>
    <s v="MODELO EDUCATIVO MORIN"/>
    <s v="ACCESORIO"/>
    <n v="1293.1034482758621"/>
    <s v="RAUL SIERRA"/>
    <m/>
    <x v="0"/>
  </r>
  <r>
    <s v="KARCHER "/>
    <x v="105"/>
    <s v="SP0000010075"/>
    <s v="MONSERRAT GONZALEZ KARRAS"/>
    <s v="ACCESORIO"/>
    <n v="258.62068965517244"/>
    <s v="PISO"/>
    <m/>
    <x v="0"/>
  </r>
  <r>
    <s v="KARCHER "/>
    <x v="105"/>
    <s v="SP0000010076"/>
    <s v="VENTA MOSTRADOR"/>
    <s v="REFACCION-SERVICIO"/>
    <n v="258.62068965517244"/>
    <s v="OSCAR RIVAS"/>
    <m/>
    <x v="0"/>
  </r>
  <r>
    <s v="KARCHER "/>
    <x v="106"/>
    <s v="SP0000010077"/>
    <s v="EQUIPOS Y LIMPIEZA DE ALTO NIVEL"/>
    <s v="EQUIPO PROFESIONAL"/>
    <n v="374000"/>
    <s v="RUBEN ARROYO"/>
    <s v="2- LAVA ALFOMBRA BRC 40/22, 1- LAVA ALFOMBRA BRC 30/15, 5 BARREDORAS KM 70/20"/>
    <x v="0"/>
  </r>
  <r>
    <s v="KARCHER "/>
    <x v="106"/>
    <s v="SP0000010078"/>
    <s v="ABINDESO"/>
    <s v="EQUIPO PROFESIONAL"/>
    <n v="20425"/>
    <s v="PISO"/>
    <s v="HIDROLAVADORA HD 7/20G"/>
    <x v="0"/>
  </r>
  <r>
    <s v="KARCHER "/>
    <x v="106"/>
    <s v="SP0000010079"/>
    <s v="CANCELADA"/>
    <m/>
    <n v="0"/>
    <m/>
    <m/>
    <x v="0"/>
  </r>
  <r>
    <s v="KARCHER "/>
    <x v="107"/>
    <s v="SP0000010080"/>
    <s v="VENTA MOSTRADOR"/>
    <s v="REFACCION-SERVICIO"/>
    <n v="1778.0000000000002"/>
    <s v="OSCAR RIVAS"/>
    <m/>
    <x v="0"/>
  </r>
  <r>
    <s v="KARCHER "/>
    <x v="107"/>
    <s v="SP0000010081"/>
    <s v="VENTA MOSTRADOR"/>
    <s v="REFACCION-SERVICIO"/>
    <n v="888"/>
    <s v="OSCAR RIVAS"/>
    <m/>
    <x v="0"/>
  </r>
  <r>
    <s v="KARCHER "/>
    <x v="107"/>
    <s v="SP0000010082"/>
    <s v="EQUIPOS Y LIMPIEZA DE ALTO NIVEL"/>
    <s v="REFACCION"/>
    <n v="312.00000000000006"/>
    <s v="INTERNO"/>
    <m/>
    <x v="0"/>
  </r>
  <r>
    <s v="KARCHER "/>
    <x v="108"/>
    <s v="SP0000010083"/>
    <s v="CANCELADA"/>
    <m/>
    <n v="0"/>
    <m/>
    <m/>
    <x v="0"/>
  </r>
  <r>
    <s v="KARCHER "/>
    <x v="108"/>
    <s v="SP0000010084"/>
    <s v="HORTENSIA RAMIREZ MEZA"/>
    <s v="ACCESORIO"/>
    <n v="1163.793103448276"/>
    <s v="PISO"/>
    <m/>
    <x v="0"/>
  </r>
  <r>
    <s v="KARCHER "/>
    <x v="108"/>
    <s v="SP0000010085"/>
    <s v="CANCELADA"/>
    <m/>
    <n v="0"/>
    <m/>
    <m/>
    <x v="0"/>
  </r>
  <r>
    <s v="KARCHER "/>
    <x v="109"/>
    <s v="SP0000010086"/>
    <s v="JESUS EDUARDO HERNANDEZ MONDRAGON"/>
    <s v="REFACCION"/>
    <n v="413.79310344827587"/>
    <s v="PISO"/>
    <m/>
    <x v="0"/>
  </r>
  <r>
    <s v="KARCHER "/>
    <x v="109"/>
    <s v="SP0000010087"/>
    <s v="SOLUCIONES INTEGRALES STREAMAPPS"/>
    <s v="REFACCION-SERVICIO"/>
    <n v="2020.6896551724139"/>
    <s v="OSCAR RIVAS"/>
    <m/>
    <x v="0"/>
  </r>
  <r>
    <s v="KARCHER "/>
    <x v="110"/>
    <s v="SP0000010088"/>
    <s v="EQUIPOS Y LIMPIEZA DE ALTO NIVEL"/>
    <m/>
    <n v="0"/>
    <m/>
    <m/>
    <x v="0"/>
  </r>
  <r>
    <s v="KARCHER "/>
    <x v="110"/>
    <s v="SP0000010089"/>
    <s v="VENTA MOSTRADOR"/>
    <s v="REFACCION-SERVICIO"/>
    <n v="808"/>
    <s v="OSCAR RIVAS"/>
    <m/>
    <x v="0"/>
  </r>
  <r>
    <s v="KARCHER "/>
    <x v="110"/>
    <s v="SP0000010090"/>
    <s v="VENTA MOSTRADOR"/>
    <s v="REFACCION-SERVICIO"/>
    <n v="1979.3103448275863"/>
    <s v="OSCAR RIVAS"/>
    <m/>
    <x v="0"/>
  </r>
  <r>
    <s v="KARCHER "/>
    <x v="111"/>
    <s v="SP0000010091"/>
    <s v="VENTA MOSTRADOR"/>
    <s v="REFACCION-SERVICIO"/>
    <n v="2591.3793103448279"/>
    <s v="OSCAR RIVAS"/>
    <m/>
    <x v="0"/>
  </r>
  <r>
    <s v="KARCHER "/>
    <x v="111"/>
    <s v="SP0000010092"/>
    <s v="VENTA MOSTRADOR"/>
    <s v="REFACCION-SERVICIO"/>
    <n v="1341.3793103448277"/>
    <s v="OSCAR RIVAS"/>
    <m/>
    <x v="0"/>
  </r>
  <r>
    <s v="KARCHER "/>
    <x v="111"/>
    <s v="SP0000010093"/>
    <s v="FERBEL NORTE"/>
    <s v="EQUIPO PROFESIONAL"/>
    <n v="24443.000000000004"/>
    <s v="RAUL SIERRA"/>
    <s v="HIDROLAVADORA HD 4/9"/>
    <x v="0"/>
  </r>
  <r>
    <s v="KARCHER "/>
    <x v="112"/>
    <s v="SP0000010094"/>
    <s v="VENTA MOSTRADOR"/>
    <s v="REVISION"/>
    <n v="258.62068965517244"/>
    <s v="OSCAR RIVAS"/>
    <m/>
    <x v="0"/>
  </r>
  <r>
    <s v="KARCHER "/>
    <x v="112"/>
    <s v="SP0000010095"/>
    <s v="VENTA MOSTRADOR"/>
    <s v="REVISION"/>
    <n v="258.62068965517244"/>
    <s v="OSCAR RIVAS"/>
    <m/>
    <x v="0"/>
  </r>
  <r>
    <s v="KARCHER "/>
    <x v="112"/>
    <s v="SP0000010096"/>
    <s v="VENTA MOSTRADOR"/>
    <s v="REFACCION-SERVICIO"/>
    <n v="1594.8275862068967"/>
    <s v="OSCAR RIVAS"/>
    <m/>
    <x v="0"/>
  </r>
  <r>
    <s v="KARCHER "/>
    <x v="112"/>
    <s v="SP0000010097"/>
    <s v="VENTA MOSTRADOR"/>
    <s v="ACCESORIO"/>
    <n v="1465.5172413793105"/>
    <s v="PISO"/>
    <m/>
    <x v="0"/>
  </r>
  <r>
    <s v="KARCHER "/>
    <x v="113"/>
    <s v="SP0000010098"/>
    <s v="ELSA LORENA PINEDA RINCON"/>
    <s v="EQUIPO HOME &amp; GARDEN"/>
    <n v="4598.2758620689656"/>
    <s v="RAUL SIERRA"/>
    <s v="HIDROLAVADORA K 4 PREMIUM"/>
    <x v="0"/>
  </r>
  <r>
    <s v="KARCHER "/>
    <x v="114"/>
    <s v="SP0000010099"/>
    <s v="VENTA MOSTRADOR"/>
    <s v="REFACCION-SERVICIO"/>
    <n v="4426"/>
    <s v="OSCAR RIVAS"/>
    <m/>
    <x v="0"/>
  </r>
  <r>
    <s v="KARCHER "/>
    <x v="114"/>
    <s v="SP0000010100"/>
    <s v="VENTA MOSTRADOR"/>
    <s v="REFACCION-SERVICIO"/>
    <n v="1581.0000000000002"/>
    <s v="OSCAR RIVAS"/>
    <m/>
    <x v="0"/>
  </r>
  <r>
    <s v="KARCHER "/>
    <x v="114"/>
    <s v="SP0000010101"/>
    <s v="VENTA MOSTRADOR"/>
    <s v="REVISION"/>
    <n v="258.62068965517244"/>
    <s v="OSCAR RIVAS"/>
    <m/>
    <x v="0"/>
  </r>
  <r>
    <s v="KARCHER "/>
    <x v="114"/>
    <s v="SP0000010102"/>
    <s v="EQUIPOS Y LIMPIEZA DE ALTO NIVEL"/>
    <s v="REFACCION"/>
    <n v="270"/>
    <s v="INTERNO"/>
    <m/>
    <x v="0"/>
  </r>
  <r>
    <s v="KARCHER "/>
    <x v="115"/>
    <s v="SP0000010103"/>
    <s v="MISE INGENIERIA EN ALTA PRESION"/>
    <s v="EQUIPO HOME &amp; GARDEN"/>
    <n v="5603.4482758620697"/>
    <s v="PISO"/>
    <s v="HIDROLAVADORA K 4 CAR"/>
    <x v="0"/>
  </r>
  <r>
    <s v="KARCHER "/>
    <x v="116"/>
    <s v="SP0000010104"/>
    <s v="VENTA MOSTRADOR"/>
    <s v="REFACCION-SERVICIO"/>
    <n v="2559"/>
    <s v="OSCAR RIVAS"/>
    <m/>
    <x v="0"/>
  </r>
  <r>
    <s v="KARCHER "/>
    <x v="117"/>
    <s v="SP0000010105"/>
    <s v="EQUIPOS Y LIMPIEZA DE ALTO NIVEL"/>
    <s v="REFACCION"/>
    <n v="2700"/>
    <s v="INTERNO"/>
    <m/>
    <x v="0"/>
  </r>
  <r>
    <s v="KARCHER "/>
    <x v="117"/>
    <s v="SP0000010106"/>
    <s v="MARTIN PEDRO BORQUEZ VALENZUELA"/>
    <s v="REVISION"/>
    <n v="258.62068965517244"/>
    <s v="OSCAR RIVAS"/>
    <m/>
    <x v="0"/>
  </r>
  <r>
    <s v="KARCHER "/>
    <x v="118"/>
    <s v="SP0000010107"/>
    <s v="RENTA DE MAQUINARIA PESADA PIRAMIDE"/>
    <s v="EQUIPO HOME &amp; GARDEN"/>
    <n v="8517.241379310346"/>
    <s v="RUBEN ARROYO"/>
    <s v="HIDROLAVADORA G 2600"/>
    <x v="0"/>
  </r>
  <r>
    <s v="KARCHER "/>
    <x v="118"/>
    <s v="SP0000010108"/>
    <s v="VENTA MOSTRADOR"/>
    <s v="REFACCION-SERVICIO"/>
    <n v="1785"/>
    <s v="OSCAR RIVAS"/>
    <m/>
    <x v="0"/>
  </r>
  <r>
    <s v="KARCHER "/>
    <x v="118"/>
    <s v="SP0000010109"/>
    <s v="EQUIPOS Y LIMPIEZA DE ALTO NIVEL"/>
    <s v="REFACCION"/>
    <n v="1075.1982758620691"/>
    <s v="INTERNO"/>
    <m/>
    <x v="0"/>
  </r>
  <r>
    <s v="KARCHER "/>
    <x v="118"/>
    <s v="SP0000010110"/>
    <s v="VENTA MOSTRADOR"/>
    <s v="REFACCION-SERVICIO"/>
    <n v="2592"/>
    <s v="OSCAR RIVAS"/>
    <m/>
    <x v="0"/>
  </r>
  <r>
    <s v="KARCHER "/>
    <x v="118"/>
    <s v="SP0000010111"/>
    <s v="VENTA MOSTRADOR"/>
    <s v="REFACCION-SERVICIO"/>
    <n v="8510"/>
    <s v="OSCAR RIVAS"/>
    <m/>
    <x v="0"/>
  </r>
  <r>
    <s v="KARCHER "/>
    <x v="118"/>
    <s v="SP0000010112"/>
    <s v="VENTA MOSTRADOR"/>
    <s v="REFACCION"/>
    <n v="146.55172413793105"/>
    <s v="PISO"/>
    <m/>
    <x v="0"/>
  </r>
  <r>
    <s v="KARCHER "/>
    <x v="118"/>
    <s v="SP0000010113"/>
    <s v="GILBERTO CHAVEZ CRUZ"/>
    <s v="ACCESORIO"/>
    <n v="948.27586206896558"/>
    <s v="PISO"/>
    <m/>
    <x v="0"/>
  </r>
  <r>
    <s v="KARCHER "/>
    <x v="118"/>
    <s v="SP0000010114"/>
    <s v="VENTA MOSTRADOR"/>
    <s v="REFACCION-SERVICIO"/>
    <n v="1146"/>
    <s v="OSCAR RIVAS"/>
    <m/>
    <x v="0"/>
  </r>
  <r>
    <s v="KARCHER "/>
    <x v="119"/>
    <s v="SP0000010115"/>
    <s v="VENTA MOSTRADOR"/>
    <s v="REFACCION-SERVICIO"/>
    <n v="2440.0000000000005"/>
    <s v="OSCAR RIVAS"/>
    <m/>
    <x v="0"/>
  </r>
  <r>
    <s v="KARCHER "/>
    <x v="119"/>
    <s v="SP0000010116"/>
    <s v="VENTA MOSTRADOR"/>
    <s v="REFACCION-SERVICIO"/>
    <n v="1721"/>
    <s v="OSCAR RIVAS"/>
    <m/>
    <x v="0"/>
  </r>
  <r>
    <s v="KARCHER "/>
    <x v="119"/>
    <s v="SP0000010117"/>
    <s v="VENTA MOSTRADOR"/>
    <s v="REFACCION-SERVICIO"/>
    <n v="1887.0000000000002"/>
    <s v="OSCAR RIVAS"/>
    <m/>
    <x v="0"/>
  </r>
  <r>
    <s v="KARCHER "/>
    <x v="119"/>
    <s v="SP0000010118"/>
    <s v="VENTA MOSTRADOR"/>
    <s v="EQUIPO HOME &amp; GARDEN"/>
    <n v="1724.1379310344828"/>
    <s v="PISO"/>
    <s v="ASPIRADORA WD 1"/>
    <x v="0"/>
  </r>
  <r>
    <s v="KARCHER "/>
    <x v="120"/>
    <s v="SP0000010119"/>
    <s v="ABASTECEDOR TERAPEUTICO"/>
    <s v="SERVICIO"/>
    <n v="600"/>
    <s v="SERGIO AGUILERA"/>
    <m/>
    <x v="0"/>
  </r>
  <r>
    <s v="KARCHER "/>
    <x v="120"/>
    <s v="SP0000010120"/>
    <s v="DELTA INGENIERIA ESPECIALIZADA"/>
    <s v="REFACCION-SERVICIO"/>
    <n v="2035"/>
    <s v="OSCAR RIVAS"/>
    <m/>
    <x v="0"/>
  </r>
  <r>
    <s v="KARCHER "/>
    <x v="121"/>
    <s v="SP0000010121"/>
    <s v="VENTA MOSTRADOR"/>
    <s v="ACCESORIO"/>
    <n v="328.00000000000006"/>
    <s v="PISO"/>
    <m/>
    <x v="0"/>
  </r>
  <r>
    <s v="KARCHER "/>
    <x v="121"/>
    <s v="SP0000010122"/>
    <s v="VENTA MOSTRADOR"/>
    <s v="ACCESORIO"/>
    <n v="302"/>
    <s v="PISO"/>
    <m/>
    <x v="0"/>
  </r>
  <r>
    <s v="KARCHER "/>
    <x v="122"/>
    <s v="SP0000010123"/>
    <s v="DAMS GARAGE"/>
    <s v="REFACCION-SERVICIO"/>
    <n v="1600.8620689655174"/>
    <s v="OSCAR RIVAS"/>
    <m/>
    <x v="0"/>
  </r>
  <r>
    <s v="KARCHER "/>
    <x v="122"/>
    <s v="SP0000010124"/>
    <s v="VENTA MOSTRADOR"/>
    <s v="REFACCION"/>
    <n v="388"/>
    <s v="OSCAR RIVAS"/>
    <m/>
    <x v="0"/>
  </r>
  <r>
    <s v="KARCHER "/>
    <x v="123"/>
    <s v="SP0000010125"/>
    <s v="VENTA MOSTRADOR"/>
    <s v="REFACCION-SERVICIO"/>
    <n v="1293.0000000000002"/>
    <s v="OSCAR RIVAS"/>
    <m/>
    <x v="0"/>
  </r>
  <r>
    <s v="KARCHER "/>
    <x v="123"/>
    <s v="SP0000010126"/>
    <s v="VENTA MOSTRADOR"/>
    <s v="EQUIPO HOME &amp; GARDEN"/>
    <n v="5431.0431034482763"/>
    <s v="PISO"/>
    <s v="HIDROLAVADORA K 4 "/>
    <x v="0"/>
  </r>
  <r>
    <s v="KARCHER "/>
    <x v="124"/>
    <s v="SP0000010127"/>
    <s v="VENTA MOSTRADOR"/>
    <s v="ACCESORIO"/>
    <n v="560.34482758620697"/>
    <s v="OSCAR RIVAS"/>
    <m/>
    <x v="0"/>
  </r>
  <r>
    <s v="KARCHER "/>
    <x v="124"/>
    <s v="SP0000010128"/>
    <s v="VENTA MOSTRADOR"/>
    <s v="REFACCION"/>
    <n v="1793.1034482758621"/>
    <s v="OSCAR RIVAS"/>
    <m/>
    <x v="0"/>
  </r>
  <r>
    <s v="KARCHER "/>
    <x v="124"/>
    <s v="SP0000010129"/>
    <s v="LUIS VERGEL VASQUEZ"/>
    <s v="EQUIPO HOME &amp; GARDEN"/>
    <n v="3103.4482758620693"/>
    <s v="RUBEN ARROYO"/>
    <s v="HIDROLAVADORA K 2 INDUCTION"/>
    <x v="0"/>
  </r>
  <r>
    <s v="KARCHER "/>
    <x v="124"/>
    <s v="SP0000010130"/>
    <s v="EQUIPOS Y LIMPIEZA DE ALTO NIVEL"/>
    <m/>
    <n v="0"/>
    <m/>
    <m/>
    <x v="0"/>
  </r>
  <r>
    <s v="KARCHER "/>
    <x v="125"/>
    <s v="SP0000010131"/>
    <s v="ESCUELA SIERRA NEVADA"/>
    <s v="ACCESORIO"/>
    <n v="1465.5172413793105"/>
    <s v="OSCAR RIVAS"/>
    <m/>
    <x v="0"/>
  </r>
  <r>
    <s v="KARCHER "/>
    <x v="125"/>
    <s v="SP0000010132"/>
    <s v="VENTA MOSTRADOR"/>
    <s v="REFACCION-SERVICIO"/>
    <n v="690"/>
    <s v="OSCAR RIVAS"/>
    <m/>
    <x v="0"/>
  </r>
  <r>
    <s v="KARCHER "/>
    <x v="126"/>
    <s v="SP0000010133"/>
    <s v="RAFAEL DE JESUS MENDOZA RAMOS"/>
    <s v="REFACCION-SERVICIO"/>
    <n v="2946.0000000000005"/>
    <s v="OSCAR RIVAS"/>
    <m/>
    <x v="0"/>
  </r>
  <r>
    <s v="KARCHER "/>
    <x v="126"/>
    <s v="SP0000010134"/>
    <s v="DISTRIBUIDORA NACIONAL DE MOTOCICLETAS"/>
    <s v="REVISION"/>
    <n v="258.62068965517244"/>
    <s v="RAUL SIERRA"/>
    <m/>
    <x v="0"/>
  </r>
  <r>
    <s v="KARCHER "/>
    <x v="127"/>
    <s v="SP0000010135"/>
    <s v="PARTNERTASTE"/>
    <s v="REFACCION-SERVICIO"/>
    <n v="2861.0000000000005"/>
    <s v="OSCAR RIVAS"/>
    <m/>
    <x v="0"/>
  </r>
  <r>
    <s v="KARCHER "/>
    <x v="128"/>
    <s v="SP0000010136"/>
    <s v="AUTOFIN AUTOMOTRIZ"/>
    <s v="EQUIPO PROFESIONAL"/>
    <n v="26224.000000000004"/>
    <s v="RUBEN ARROYO"/>
    <s v="HIDROLAVADORA HD 9/15"/>
    <x v="0"/>
  </r>
  <r>
    <s v="KARCHER "/>
    <x v="128"/>
    <s v="SP0000010137"/>
    <s v="VENTA MOSTRADOR"/>
    <s v="REFACCION-SERVICIO"/>
    <n v="2728"/>
    <s v="OSCAR RIVAS"/>
    <m/>
    <x v="0"/>
  </r>
  <r>
    <s v="KARCHER "/>
    <x v="129"/>
    <s v="SP0000010138"/>
    <s v="VENTA MOSTRADOR"/>
    <s v="EQUIPO HOME &amp; GARDEN"/>
    <n v="1724.1379310344828"/>
    <s v="ANDREA "/>
    <s v="ESCOBA KB 5"/>
    <x v="0"/>
  </r>
  <r>
    <s v="KARCHER "/>
    <x v="129"/>
    <s v="SP0000010139"/>
    <s v="VENTA MOSTRADOR"/>
    <s v="REFACCION-SERVICIO"/>
    <n v="1002"/>
    <s v="OSCAR RIVAS"/>
    <m/>
    <x v="0"/>
  </r>
  <r>
    <s v="KARCHER "/>
    <x v="129"/>
    <s v="SP0000010140"/>
    <s v="JONATHAN FERNANDO DE JESUS VALLE GOSCH"/>
    <s v="REFACCION-SERVICIO"/>
    <n v="2586.2068965517242"/>
    <s v="OSCAR RIVAS"/>
    <m/>
    <x v="0"/>
  </r>
  <r>
    <s v="KARCHER "/>
    <x v="129"/>
    <s v="SP0000010141"/>
    <s v="ENVASES UNIVERSALES"/>
    <s v="EQUIPO PROFESIONAL"/>
    <n v="54000.000000000007"/>
    <s v="RUBEN ARROYO"/>
    <s v="2- HIDROLAVADORA HD 6/15"/>
    <x v="0"/>
  </r>
  <r>
    <s v="KARCHER "/>
    <x v="130"/>
    <s v="SP0000010142"/>
    <s v="VENTA MOSTRADOR"/>
    <s v="ACCESORIO"/>
    <n v="168"/>
    <s v="PISO"/>
    <m/>
    <x v="0"/>
  </r>
  <r>
    <s v="KARCHER "/>
    <x v="130"/>
    <s v="SP0000010143"/>
    <s v="VENTA MOSTRADOR"/>
    <s v="REFACCION"/>
    <n v="646.55172413793105"/>
    <s v="OSCAR RIVAS"/>
    <m/>
    <x v="0"/>
  </r>
  <r>
    <s v="KARCHER "/>
    <x v="131"/>
    <s v="SP0000010144"/>
    <s v="EQUIPOS Y LIMPIEZA DE ALTO NIVEL"/>
    <s v="ACCESORIO"/>
    <n v="693"/>
    <s v="INTERNO"/>
    <m/>
    <x v="0"/>
  </r>
  <r>
    <s v="KARCHER "/>
    <x v="131"/>
    <s v="SP0000010145"/>
    <s v="CRESTA IZTAPALAPA"/>
    <s v="ACCESORIO"/>
    <n v="3600.0000000000005"/>
    <s v="RUBEN ARROYO"/>
    <m/>
    <x v="0"/>
  </r>
  <r>
    <s v="KARCHER "/>
    <x v="131"/>
    <s v="SP0000010146"/>
    <s v="ROSA MARIA ROJAS MIRANDA"/>
    <s v="EQUIPO HOME &amp; GARDEN"/>
    <n v="3103.4482758620693"/>
    <s v="PISO"/>
    <s v="HIDROLAVADORA K 2 INDUCTION"/>
    <x v="0"/>
  </r>
  <r>
    <s v="KARCHER "/>
    <x v="131"/>
    <s v="SP0000010147"/>
    <s v="VENTA MOSTRADOR"/>
    <s v="ACCESORIO"/>
    <n v="2198.2758620689656"/>
    <s v="PISO"/>
    <m/>
    <x v="0"/>
  </r>
  <r>
    <s v="KARCHER "/>
    <x v="131"/>
    <s v="SP0000010148"/>
    <s v="JORGE IVAN LOPEZ OCHOA"/>
    <s v="ACCESORIO"/>
    <n v="1465.5172413793105"/>
    <s v="PISO"/>
    <m/>
    <x v="0"/>
  </r>
  <r>
    <s v="KARCHER "/>
    <x v="132"/>
    <s v="SP0000010149"/>
    <s v="EQUIPOS Y LIMPIEZA DE ALTO NIVEL"/>
    <m/>
    <n v="0"/>
    <m/>
    <m/>
    <x v="0"/>
  </r>
  <r>
    <s v="KARCHER "/>
    <x v="132"/>
    <s v="SP0000010150"/>
    <s v="MTC COATINGS DE MEXICO"/>
    <s v="ACCESORIO"/>
    <n v="818.97413793103453"/>
    <s v="PISO"/>
    <m/>
    <x v="0"/>
  </r>
  <r>
    <s v="KARCHER "/>
    <x v="133"/>
    <s v="SP0000010151"/>
    <s v="EQUIPOS Y LIMPIEZA DE ALTO NIVEL"/>
    <s v="REFACCION"/>
    <n v="2693.6982758620693"/>
    <s v="INTERNO"/>
    <m/>
    <x v="0"/>
  </r>
  <r>
    <s v="KARCHER "/>
    <x v="134"/>
    <s v="SP0000010152"/>
    <s v="LANNOTTI"/>
    <s v="EQUIPO HOME &amp; GARDEN"/>
    <n v="19396.551724137931"/>
    <s v="PISO"/>
    <s v="ASPIRADORA WD 1"/>
    <x v="0"/>
  </r>
  <r>
    <s v="KARCHER "/>
    <x v="134"/>
    <s v="SP0000010153"/>
    <s v="MARKETEAM MANIA"/>
    <s v="REFACCION-SERVICIO"/>
    <n v="1581.043103448276"/>
    <s v="OSCAR RIVAS"/>
    <m/>
    <x v="0"/>
  </r>
  <r>
    <s v="KARCHER "/>
    <x v="134"/>
    <s v="SP0000010154"/>
    <s v="EQUIPOS Y LIMPIEZA DE ALTO NIVEL"/>
    <s v="REFACCION"/>
    <n v="688.5"/>
    <s v="INTERNO"/>
    <m/>
    <x v="0"/>
  </r>
  <r>
    <s v="KARCHER "/>
    <x v="134"/>
    <s v="SP0000010155"/>
    <s v="MULTIELECTRICA INDUSTRIAL"/>
    <s v="EQUIPO PROFESIONAL"/>
    <n v="20800"/>
    <s v="RUBEN ARROYO"/>
    <s v="HIDROLAVADORA HD 4/9"/>
    <x v="0"/>
  </r>
  <r>
    <s v="KARCHER "/>
    <x v="134"/>
    <s v="SP0000010156"/>
    <s v="MULTIELECTRICA INDUSTRIAL"/>
    <s v="REFACCION-SERVICIO"/>
    <n v="4385.0000000000009"/>
    <s v="OSCAR RIVAS"/>
    <m/>
    <x v="0"/>
  </r>
  <r>
    <s v="KARCHER "/>
    <x v="134"/>
    <s v="SP0000010157"/>
    <s v="TECNOSEGUVIP"/>
    <s v="REFACCION"/>
    <n v="413.79310344827587"/>
    <s v="OSCAR RIVAS"/>
    <m/>
    <x v="0"/>
  </r>
  <r>
    <s v="KARCHER "/>
    <x v="135"/>
    <s v="SP0000010158"/>
    <s v="VENTA MOSTRADOR"/>
    <s v="REFACCION-SERVICIO"/>
    <n v="5835.3534482758623"/>
    <s v="OSCAR RIVAS"/>
    <m/>
    <x v="0"/>
  </r>
  <r>
    <s v="KARCHER "/>
    <x v="135"/>
    <s v="SP0000010159"/>
    <s v="VENTA MOSTRADOR"/>
    <s v="REFACCION-SERVICIO"/>
    <n v="3581.8965517241381"/>
    <s v="OSCAR RIVAS"/>
    <m/>
    <x v="0"/>
  </r>
  <r>
    <s v="KARCHER "/>
    <x v="136"/>
    <s v="SP0000010160"/>
    <s v="VENTA MOSTRADOR"/>
    <s v="REFACCION-SERVICIO"/>
    <n v="3373.2758620689656"/>
    <s v="OSCAR RIVAS"/>
    <m/>
    <x v="0"/>
  </r>
  <r>
    <s v="KARCHER "/>
    <x v="136"/>
    <s v="SP0000010161"/>
    <s v="VENTA MOSTRADOR"/>
    <s v="QUIMICO"/>
    <n v="801.72413793103453"/>
    <s v="PISO"/>
    <m/>
    <x v="0"/>
  </r>
  <r>
    <s v="KARCHER "/>
    <x v="136"/>
    <s v="SP0000010162"/>
    <s v="VENTA MOSTRADOR"/>
    <s v="REFACCION-SERVICIO"/>
    <n v="1681.043103448276"/>
    <s v="OSCAR RIVAS"/>
    <m/>
    <x v="0"/>
  </r>
  <r>
    <s v="KARCHER "/>
    <x v="136"/>
    <s v="SP0000010163"/>
    <s v="VENTA MOSTRADOR"/>
    <s v="REFACCION-SERVICIO"/>
    <n v="1623.3965517241381"/>
    <s v="OSCAR RIVAS"/>
    <m/>
    <x v="0"/>
  </r>
  <r>
    <s v="KARCHER "/>
    <x v="136"/>
    <s v="SP0000010164"/>
    <s v="VENTA MOSTRADOR"/>
    <s v="REFACCION-SERVICIO"/>
    <n v="2546.0000000000005"/>
    <s v="OSCAR RIVAS"/>
    <m/>
    <x v="0"/>
  </r>
  <r>
    <s v="KARCHER "/>
    <x v="137"/>
    <s v="SP0000010165"/>
    <s v="EQUIPOS Y LIMPIEZA DE ALTO NIVEL"/>
    <m/>
    <n v="0"/>
    <m/>
    <m/>
    <x v="0"/>
  </r>
  <r>
    <s v="KARCHER "/>
    <x v="137"/>
    <s v="SP0000010166"/>
    <s v="VENTA MOSTRADOR"/>
    <s v="EQUIPO HOME &amp; GARDEN"/>
    <n v="1724.1379310344828"/>
    <s v="ANDREA"/>
    <s v="ESCOBA KB5"/>
    <x v="0"/>
  </r>
  <r>
    <s v="KARCHER "/>
    <x v="137"/>
    <s v="SP0000010167"/>
    <s v="VENTA MOSTRADOR"/>
    <s v="REVISION"/>
    <n v="172.41379310344828"/>
    <s v="OSCAR RIVAS"/>
    <m/>
    <x v="0"/>
  </r>
  <r>
    <s v="KARCHER "/>
    <x v="137"/>
    <s v="SP0000010168"/>
    <s v="SION SUPPLY"/>
    <s v="EQUIPO HOME &amp; GARDEN"/>
    <n v="4094.5"/>
    <s v="RUBEN ARROYO"/>
    <s v="ASPIRADORA WD 5"/>
    <x v="0"/>
  </r>
  <r>
    <s v="KARCHER "/>
    <x v="138"/>
    <s v="SP0000010169"/>
    <s v="INGENIERIA Y PROYECTOS YEETEL"/>
    <s v="REVISION"/>
    <n v="258.62068965517244"/>
    <s v="OSCAR RIVAS"/>
    <m/>
    <x v="0"/>
  </r>
  <r>
    <s v="KARCHER "/>
    <x v="138"/>
    <s v="SP0000010170"/>
    <s v="VENTA MOSTRADOR"/>
    <s v="ACCESORIO"/>
    <n v="301.72413793103448"/>
    <s v="PISO"/>
    <m/>
    <x v="0"/>
  </r>
  <r>
    <s v="KARCHER "/>
    <x v="139"/>
    <s v="SP0000010171"/>
    <s v="JESUS ARVISU ALVARADO"/>
    <s v="ACCESORIO"/>
    <n v="172.41379310344828"/>
    <s v="PISO"/>
    <m/>
    <x v="0"/>
  </r>
  <r>
    <s v="KARCHER "/>
    <x v="140"/>
    <s v="SP0000010172"/>
    <s v="VENTA MOSTRADOR"/>
    <s v="ACCESORIO"/>
    <n v="1379.3103448275863"/>
    <s v="PISO"/>
    <m/>
    <x v="0"/>
  </r>
  <r>
    <s v="KARCHER "/>
    <x v="140"/>
    <s v="SP0000010173"/>
    <s v="VENTA MOSTRADOR"/>
    <s v="REFACCION-REVISION"/>
    <n v="2500"/>
    <s v="OSCAR RIVAS"/>
    <m/>
    <x v="0"/>
  </r>
  <r>
    <s v="KARCHER "/>
    <x v="140"/>
    <s v="SP0000010174"/>
    <s v="FABIOLA NAVARRO RODRIGUEZ"/>
    <s v="EQUIPO HOME &amp; GARDEN"/>
    <n v="3103.4482758620693"/>
    <s v="PISO"/>
    <s v="HIDROLAVADORA K 2 INDUCTION"/>
    <x v="0"/>
  </r>
  <r>
    <s v="KARCHER "/>
    <x v="141"/>
    <s v="SP0000010175"/>
    <s v="ATLAS COPCO"/>
    <s v="EQUIPO PROFESIONAL"/>
    <n v="21500"/>
    <s v="RUBEN ARROYO"/>
    <s v="HIDROLAVADORA HD 4/9"/>
    <x v="0"/>
  </r>
  <r>
    <s v="KARCHER "/>
    <x v="141"/>
    <s v="SP0000010176"/>
    <s v="VENTA MOSTRADOR"/>
    <s v="REFACCION-SERVICIO"/>
    <n v="2084"/>
    <s v="OSCAR RIVAS"/>
    <m/>
    <x v="0"/>
  </r>
  <r>
    <s v="KARCHER "/>
    <x v="141"/>
    <s v="SP0000010177"/>
    <s v="VENTA MOSTRADOR"/>
    <s v="ACCESORIO"/>
    <n v="413.79310344827587"/>
    <s v="PISO"/>
    <m/>
    <x v="0"/>
  </r>
  <r>
    <s v="KARCHER "/>
    <x v="142"/>
    <s v="SP0000010178"/>
    <s v="EQUIPOS Y LIMPIEZA DE ALTO NIVEL"/>
    <m/>
    <n v="0"/>
    <m/>
    <m/>
    <x v="0"/>
  </r>
  <r>
    <s v="KARCHER "/>
    <x v="142"/>
    <s v="SP0000010179"/>
    <s v="CANCELADA"/>
    <m/>
    <n v="0"/>
    <m/>
    <m/>
    <x v="0"/>
  </r>
  <r>
    <s v="KARCHER "/>
    <x v="142"/>
    <s v="SP0000010180"/>
    <s v="VENTA MOSTRADOR"/>
    <s v="REVISION"/>
    <n v="258.62068965517244"/>
    <s v="OSCAR RIVAS"/>
    <m/>
    <x v="0"/>
  </r>
  <r>
    <s v="KARCHER "/>
    <x v="143"/>
    <s v="SP0000010181"/>
    <s v="VENTA MOSTRADOR"/>
    <s v="REFACCION-SERVICIO"/>
    <n v="660.00000000000011"/>
    <s v="OSCAR RIVAS"/>
    <m/>
    <x v="0"/>
  </r>
  <r>
    <s v="KARCHER "/>
    <x v="143"/>
    <s v="SP0000010182"/>
    <s v="VENTA MOSTRADOR"/>
    <s v="REFACCION-SERVICIO"/>
    <n v="2164"/>
    <s v="OSCAR RIVAS"/>
    <m/>
    <x v="0"/>
  </r>
  <r>
    <s v="KARCHER "/>
    <x v="143"/>
    <s v="SP0000010183"/>
    <s v="VENTA MOSTRADOR"/>
    <s v="ACCESORIO"/>
    <n v="301.72413793103448"/>
    <s v="PISO"/>
    <m/>
    <x v="0"/>
  </r>
  <r>
    <s v="KARCHER "/>
    <x v="144"/>
    <s v="SP0000010184"/>
    <s v="VENTA MOSTRADOR"/>
    <s v="REFACCION-SERVICIO"/>
    <n v="2464"/>
    <s v="OSCAR RIVAS"/>
    <m/>
    <x v="0"/>
  </r>
  <r>
    <s v="KARCHER "/>
    <x v="145"/>
    <s v="SP0000010185"/>
    <s v="VENTA MOSTRADOR"/>
    <s v="REVISION"/>
    <n v="258.62068965517244"/>
    <s v="OSCAR RIVAS"/>
    <m/>
    <x v="0"/>
  </r>
  <r>
    <s v="KARCHER "/>
    <x v="145"/>
    <s v="SP0000010186"/>
    <s v="GABRIELA GUZMAN GUZMAN"/>
    <s v="REFACCION"/>
    <n v="413.79310344827587"/>
    <s v="PISO"/>
    <m/>
    <x v="0"/>
  </r>
  <r>
    <s v="KARCHER "/>
    <x v="145"/>
    <s v="SP0000010187"/>
    <s v="VENTA MOSTRADOR"/>
    <s v="REFACCION-SERVICIO"/>
    <n v="1443.0000000000002"/>
    <s v="OSCAR RIVAS"/>
    <m/>
    <x v="0"/>
  </r>
  <r>
    <s v="KARCHER "/>
    <x v="10"/>
    <s v="SP0000010188"/>
    <s v="CANCELADA"/>
    <m/>
    <n v="0"/>
    <m/>
    <m/>
    <x v="0"/>
  </r>
  <r>
    <s v="KARCHER "/>
    <x v="146"/>
    <s v="SP0000010189"/>
    <s v="VENTA MOSTRADOR"/>
    <s v="ACCESORIO"/>
    <n v="129.31034482758622"/>
    <s v="PISO"/>
    <m/>
    <x v="0"/>
  </r>
  <r>
    <s v="KARCHER "/>
    <x v="147"/>
    <s v="SP0000010190"/>
    <s v="VENTA MOSTRADOR"/>
    <s v="REFACCION-SERVICIO"/>
    <n v="1188"/>
    <s v="OSCAR RIVAS"/>
    <m/>
    <x v="0"/>
  </r>
  <r>
    <s v="KARCHER "/>
    <x v="148"/>
    <s v="SP0000010191"/>
    <s v="EQUIPOS Y LIMPIEZA DE ALTO NIVEL"/>
    <s v="ACCESORIO"/>
    <n v="1846.5517241379312"/>
    <s v="RUBEN ARROYO"/>
    <m/>
    <x v="0"/>
  </r>
  <r>
    <s v="KARCHER "/>
    <x v="148"/>
    <s v="SP0000010192"/>
    <s v="VENTA MOSTRADOR"/>
    <s v="REFACCION-SERVICIO"/>
    <n v="1118.0000000000002"/>
    <s v="OSCAR RIVAS"/>
    <m/>
    <x v="0"/>
  </r>
  <r>
    <s v="KARCHER "/>
    <x v="149"/>
    <s v="SP0000010193"/>
    <s v="ROGERIO SOLIS LEYVA"/>
    <s v="ACCESORIO"/>
    <n v="1922.4137931034484"/>
    <s v="PISO"/>
    <m/>
    <x v="0"/>
  </r>
  <r>
    <s v="KARCHER "/>
    <x v="149"/>
    <s v="SP0000010194"/>
    <s v="VENTA MOSTRADOR"/>
    <s v="REVISION"/>
    <n v="258.62068965517244"/>
    <s v="OSCAR RIVAS"/>
    <m/>
    <x v="0"/>
  </r>
  <r>
    <s v="KARCHER "/>
    <x v="149"/>
    <s v="SP0000010195"/>
    <s v="VENTA MOSTRADOR"/>
    <s v="REFACCION-SERVICIO"/>
    <n v="2800"/>
    <s v="OSCAR RIVAS"/>
    <m/>
    <x v="0"/>
  </r>
  <r>
    <s v="KARCHER "/>
    <x v="150"/>
    <s v="SP0000010196"/>
    <s v="VENTA MOSTRADOR"/>
    <s v="REFACCION-SERVICIO"/>
    <n v="1444"/>
    <s v="OSCAR RIVAS"/>
    <m/>
    <x v="0"/>
  </r>
  <r>
    <s v="KARCHER "/>
    <x v="150"/>
    <s v="SP0000010197"/>
    <s v="VENTA MOSTRADOR"/>
    <s v="REVISION"/>
    <n v="258.62068965517244"/>
    <s v="OSCAR RIVAS"/>
    <m/>
    <x v="0"/>
  </r>
  <r>
    <s v="KARCHER "/>
    <x v="151"/>
    <s v="SP0000010198"/>
    <s v="VENTA MOSTRADOR"/>
    <s v="REFACCION-SERVICIO"/>
    <n v="2671.0000000000005"/>
    <s v="OSCAR RIVAS"/>
    <m/>
    <x v="0"/>
  </r>
  <r>
    <s v="KARCHER "/>
    <x v="152"/>
    <s v="SP0000010199"/>
    <s v="EQUIPOS Y LIMPIEZA DE ALTO NIVEL"/>
    <s v="REFACCION"/>
    <n v="4072.5"/>
    <s v="INTERNO"/>
    <m/>
    <x v="0"/>
  </r>
  <r>
    <s v="KARCHER "/>
    <x v="152"/>
    <s v="SP0000010200"/>
    <s v="EQUIPOS Y LIMPIEZA DE ALTO NIVEL"/>
    <s v="ACCESORIO"/>
    <n v="12843"/>
    <s v="INTERNO"/>
    <m/>
    <x v="0"/>
  </r>
  <r>
    <s v="KARCHER "/>
    <x v="152"/>
    <s v="SP0000010201"/>
    <s v="EQUIPOS Y LIMPIEZA DE ALTO NIVEL"/>
    <s v="REFACCION"/>
    <n v="361.80172413793105"/>
    <s v="INTERNO"/>
    <m/>
    <x v="0"/>
  </r>
  <r>
    <s v="KARCHER "/>
    <x v="152"/>
    <s v="SP0000010202"/>
    <s v="EQUIPOS Y LIMPIEZA DE ALTO NIVEL"/>
    <s v="ACCESORIO"/>
    <n v="679.50000000000011"/>
    <s v="INTERNO"/>
    <m/>
    <x v="0"/>
  </r>
  <r>
    <s v="KARCHER "/>
    <x v="152"/>
    <s v="SP0000010203"/>
    <s v="EQUIPOS Y LIMPIEZA DE ALTO NIVEL"/>
    <s v="ACCESORIO"/>
    <n v="9828"/>
    <s v="INTERNO"/>
    <m/>
    <x v="0"/>
  </r>
  <r>
    <s v="KARCHER "/>
    <x v="152"/>
    <s v="SP0000010204"/>
    <s v="LACTIALIMENTOS"/>
    <s v="SERVICIO"/>
    <n v="650"/>
    <s v="OSCAR RIVAS"/>
    <m/>
    <x v="0"/>
  </r>
  <r>
    <s v="KARCHER "/>
    <x v="152"/>
    <s v="SP0000010205"/>
    <s v="CRESTA IZTAPALAPA"/>
    <s v="ACCESORIO"/>
    <n v="1870"/>
    <s v="RUBEN ARROYO"/>
    <m/>
    <x v="0"/>
  </r>
  <r>
    <s v="KARCHER "/>
    <x v="152"/>
    <s v="SP0000010206"/>
    <s v="ROGERIO SOLIS LEYVA"/>
    <s v="REFACCION"/>
    <n v="362.06896551724139"/>
    <s v="OSCAR RIVAS"/>
    <m/>
    <x v="0"/>
  </r>
  <r>
    <s v="KARCHER "/>
    <x v="153"/>
    <s v="SP0000010207"/>
    <s v="VENTA MOSTRADOR"/>
    <s v="ACCESORIO"/>
    <n v="530.17241379310349"/>
    <s v="PISO"/>
    <m/>
    <x v="0"/>
  </r>
  <r>
    <s v="KARCHER "/>
    <x v="153"/>
    <s v="SP0000010208"/>
    <s v="MASTER MOTORS MEXICO"/>
    <s v="EQUIPO HOME &amp; GARDEN"/>
    <n v="2318.1034482758623"/>
    <s v="RUBEN ARROYO"/>
    <s v="ASPIRADORA KWD 3"/>
    <x v="0"/>
  </r>
  <r>
    <s v="KARCHER "/>
    <x v="153"/>
    <s v="SP0000010209"/>
    <s v="TERMOPLASTICOS VEC"/>
    <s v="ACCESORIO"/>
    <n v="86.206896551724142"/>
    <s v="PISO"/>
    <m/>
    <x v="0"/>
  </r>
  <r>
    <s v="KARCHER "/>
    <x v="153"/>
    <s v="SP0000010210"/>
    <s v="VENTA MOSTRADOR"/>
    <s v="ACCESORIO"/>
    <n v="215.51724137931035"/>
    <s v="PISO"/>
    <m/>
    <x v="0"/>
  </r>
  <r>
    <s v="KARCHER "/>
    <x v="154"/>
    <s v="SP0000010211"/>
    <s v="EQUIPOS Y LIMPIEZA DE ALTO NIVEL"/>
    <m/>
    <n v="0"/>
    <m/>
    <m/>
    <x v="0"/>
  </r>
  <r>
    <s v="KARCHER "/>
    <x v="155"/>
    <s v="SP0000010212"/>
    <s v="ALEJANDRO GARCIA LOPEZ"/>
    <s v="ACCESORIO"/>
    <n v="129.31034482758622"/>
    <s v="PISO"/>
    <m/>
    <x v="0"/>
  </r>
  <r>
    <s v="KARCHER "/>
    <x v="155"/>
    <s v="SP0000010213"/>
    <s v="CANCELADA"/>
    <m/>
    <n v="0"/>
    <m/>
    <m/>
    <x v="0"/>
  </r>
  <r>
    <s v="KARCHER "/>
    <x v="156"/>
    <s v="SP0000010214"/>
    <s v="VENTA MOSTRADOR"/>
    <s v="REVISION"/>
    <n v="258.62068965517244"/>
    <s v="OSCAR RIVAS"/>
    <m/>
    <x v="0"/>
  </r>
  <r>
    <s v="KARCHER "/>
    <x v="156"/>
    <s v="SP0000010215"/>
    <s v="VENTA MOSTRADOR"/>
    <s v="ACCESORIO"/>
    <n v="1465.5172413793105"/>
    <s v="OSCAR RIVAS"/>
    <m/>
    <x v="0"/>
  </r>
  <r>
    <s v="KARCHER "/>
    <x v="157"/>
    <s v="SP0000010216"/>
    <s v="JESUS HUERTA ORTIZ"/>
    <s v="REVISION"/>
    <n v="258.62068965517244"/>
    <s v="OSCAR RIVAS"/>
    <m/>
    <x v="0"/>
  </r>
  <r>
    <s v="KARCHER "/>
    <x v="157"/>
    <s v="SP0000010217"/>
    <s v="VENTA MOSTRADOR"/>
    <s v="REFACCION-SERVICIO"/>
    <n v="5024.0000000000009"/>
    <s v="OSCAR RIVAS"/>
    <m/>
    <x v="0"/>
  </r>
  <r>
    <s v="KARCHER "/>
    <x v="157"/>
    <s v="SP0000010218"/>
    <s v="VENTA MOSTRADOR"/>
    <s v="REVISION"/>
    <n v="258.62068965517244"/>
    <s v="OSCAR RIVAS"/>
    <m/>
    <x v="0"/>
  </r>
  <r>
    <s v="KARCHER "/>
    <x v="157"/>
    <s v="SP0000010219"/>
    <s v="DISTRIBUIDORA Y COMERCIALIZADORA BAU"/>
    <s v="REFACCION-SERVICIO"/>
    <n v="2264"/>
    <s v="OSCAR RIVAS"/>
    <m/>
    <x v="0"/>
  </r>
  <r>
    <s v="KARCHER "/>
    <x v="157"/>
    <s v="SP0000010220"/>
    <s v="CENTAURO ASS"/>
    <s v="ACCESORIO"/>
    <n v="952.58620689655174"/>
    <s v="PISO"/>
    <m/>
    <x v="0"/>
  </r>
  <r>
    <s v="KARCHER "/>
    <x v="158"/>
    <s v="SP0000010221"/>
    <s v="VENTA MOSTRADOR"/>
    <s v="REFACCION-SERVICIO"/>
    <n v="2029.7241379310346"/>
    <s v="OSCAR RIVAS"/>
    <m/>
    <x v="0"/>
  </r>
  <r>
    <s v="KARCHER "/>
    <x v="158"/>
    <s v="SP0000010222"/>
    <s v="ROSARIO IRAIS GONZALEZ GALINDO"/>
    <s v="REFACCION-SERVICIO"/>
    <n v="5630.3965517241386"/>
    <s v="RAUL SIERRA"/>
    <m/>
    <x v="0"/>
  </r>
  <r>
    <s v="KARCHER "/>
    <x v="158"/>
    <s v="SP0000010223"/>
    <s v="ROSARIO IRAIS GONZALEZ GALINDO"/>
    <s v="ACCESORIO"/>
    <n v="4380.4827586206893"/>
    <s v="RAUL SIERRA"/>
    <m/>
    <x v="0"/>
  </r>
  <r>
    <s v="KARCHER "/>
    <x v="158"/>
    <s v="SP0000010224"/>
    <s v="NUTRYPLUS"/>
    <s v="ACCESORIO"/>
    <n v="6762.0000000000009"/>
    <s v="RUBEN ARROYO"/>
    <m/>
    <x v="0"/>
  </r>
  <r>
    <s v="KARCHER "/>
    <x v="158"/>
    <s v="SP0000010225"/>
    <s v="EQUIPOS Y LIMPIEZA DE ALTO NIVEL"/>
    <s v="EQUIPO PROFESIONAL"/>
    <n v="22827.586206896554"/>
    <s v="OSCAR GUERRERO"/>
    <s v="LAVA ALFOMBRA PUZZI 8/1, ASPIRADORA WD2 PLUS, ASPIRADORA WD 1 "/>
    <x v="0"/>
  </r>
  <r>
    <s v="KARCHER "/>
    <x v="159"/>
    <s v="SP0000010226"/>
    <s v="MAQUE CAFÉ"/>
    <s v="REFACCION-MANO DE OBRA"/>
    <n v="970.00000000000011"/>
    <s v="OSCAR RIVAS"/>
    <m/>
    <x v="0"/>
  </r>
  <r>
    <s v="KARCHER "/>
    <x v="160"/>
    <s v="SP0000010227"/>
    <s v="VENTA MOSTRADOR"/>
    <s v="REVISION"/>
    <n v="258.62068965517244"/>
    <s v="OSCAR RIVAS"/>
    <m/>
    <x v="0"/>
  </r>
  <r>
    <s v="KARCHER "/>
    <x v="160"/>
    <s v="SP0000010228"/>
    <s v="VENTA MOSTRADOR"/>
    <s v="REFACCION"/>
    <n v="672.41379310344837"/>
    <s v="OSCAR RIVAS"/>
    <m/>
    <x v="0"/>
  </r>
  <r>
    <s v="KARCHER "/>
    <x v="161"/>
    <s v="SP0000010229"/>
    <s v="CANCELADA"/>
    <m/>
    <n v="0"/>
    <m/>
    <m/>
    <x v="0"/>
  </r>
  <r>
    <s v="KARCHER "/>
    <x v="161"/>
    <s v="SP0000010230"/>
    <s v="VENTA MOSTRADOR"/>
    <s v="ACCESORIO"/>
    <n v="918.00000000000011"/>
    <s v="RUBEN ARROYO"/>
    <m/>
    <x v="0"/>
  </r>
  <r>
    <s v="KARCHER "/>
    <x v="161"/>
    <s v="SP0000010231"/>
    <s v="VENTA MOSTRADOR"/>
    <s v="ACCESORIO"/>
    <n v="1465.5172413793105"/>
    <s v="PISO"/>
    <m/>
    <x v="0"/>
  </r>
  <r>
    <s v="KARCHER "/>
    <x v="161"/>
    <s v="SP0000010232"/>
    <s v="CRYSA PROVEEDORA INDUSTRIAL"/>
    <s v="EQUIPO PROFESIONAL"/>
    <n v="29800.000000000004"/>
    <s v="RUBEN ARROYO"/>
    <s v="HIDROLAVADORA HD 9/15 G"/>
    <x v="0"/>
  </r>
  <r>
    <s v="KARCHER "/>
    <x v="161"/>
    <s v="SP0000010233"/>
    <s v="VENTA MOSTRADOR"/>
    <s v="ACCESORIO"/>
    <n v="301.72413793103448"/>
    <s v="PISO"/>
    <m/>
    <x v="0"/>
  </r>
  <r>
    <s v="KARCHER "/>
    <x v="161"/>
    <s v="SP0000010234"/>
    <s v="VENTA MOSTRADOR"/>
    <s v="ACCESORIO"/>
    <n v="86.206896551724142"/>
    <s v="PISO"/>
    <m/>
    <x v="0"/>
  </r>
  <r>
    <s v="KARCHER "/>
    <x v="161"/>
    <s v="SP0000010235"/>
    <s v="MULTIELECTRICA INDUSTRIAL"/>
    <s v="REFACCION-SERVICIO"/>
    <n v="4258"/>
    <s v="OSCAR RIVAS"/>
    <m/>
    <x v="0"/>
  </r>
  <r>
    <s v="KARCHER "/>
    <x v="161"/>
    <s v="SP0000010236"/>
    <s v="ROSARIO IRAIS GONZALEZ GALINDO"/>
    <s v="ACCESORIO"/>
    <n v="3095.1982758620688"/>
    <s v="RAUL SIERRA"/>
    <m/>
    <x v="0"/>
  </r>
  <r>
    <s v="KARCHER "/>
    <x v="162"/>
    <s v="SP0000010237"/>
    <s v="VENTA MOSTRADOR"/>
    <s v="REFACCION-SERVICIO"/>
    <n v="5206"/>
    <s v="OSCAR RIVAS"/>
    <m/>
    <x v="0"/>
  </r>
  <r>
    <s v="KARCHER "/>
    <x v="163"/>
    <s v="SP0000010238"/>
    <s v="CALIDAD EN SISTEMAS DE LIMPIEZA"/>
    <m/>
    <n v="0"/>
    <m/>
    <m/>
    <x v="0"/>
  </r>
  <r>
    <s v="KARCHER "/>
    <x v="163"/>
    <s v="SP0000010239"/>
    <s v="VENTA MOSTRADOR"/>
    <s v="REFACCION-SERVICIO"/>
    <n v="1624"/>
    <s v="OSCAR RIVAS"/>
    <m/>
    <x v="0"/>
  </r>
  <r>
    <s v="KARCHER "/>
    <x v="163"/>
    <s v="SP0000010240"/>
    <s v="CAPTURACARBONO"/>
    <s v="EQUIPO PROFESIONAL"/>
    <n v="26100"/>
    <s v="RUBEN ARROYO"/>
    <s v="LAVA ALFOMBRA PUZZI 8/1"/>
    <x v="0"/>
  </r>
  <r>
    <s v="KARCHER "/>
    <x v="164"/>
    <s v="SP0000010241"/>
    <s v="ROGERIO SOLIS LEYVA"/>
    <s v="REFACCION-MANO DE OBRA"/>
    <n v="1731.6206896551726"/>
    <s v="OSCAR RIVAS"/>
    <m/>
    <x v="0"/>
  </r>
  <r>
    <s v="KARCHER "/>
    <x v="164"/>
    <s v="SP0000010242"/>
    <s v="VENTA MOSTRADOR"/>
    <s v="REVISION"/>
    <n v="258.62068965517244"/>
    <s v="OSCAR RIVAS"/>
    <m/>
    <x v="0"/>
  </r>
  <r>
    <s v="KARCHER "/>
    <x v="165"/>
    <s v="SP0000010243"/>
    <s v="VENTA MOSTRADOR"/>
    <s v="REFACCION-SERVICIO"/>
    <n v="2406"/>
    <s v="OSCAR RIVAS"/>
    <m/>
    <x v="0"/>
  </r>
  <r>
    <s v="KARCHER "/>
    <x v="165"/>
    <s v="SP0000010244"/>
    <s v="VENTA MOSTRADOR"/>
    <s v="ACCESORIO"/>
    <n v="1465.5172413793105"/>
    <s v="PISO"/>
    <m/>
    <x v="0"/>
  </r>
  <r>
    <s v="KARCHER "/>
    <x v="165"/>
    <s v="SP0000010245"/>
    <s v="VENTA MOSTRADOR"/>
    <s v="REFACCION-SERVICIO"/>
    <n v="1052"/>
    <s v="OSCAR RIVAS"/>
    <m/>
    <x v="0"/>
  </r>
  <r>
    <s v="KARCHER "/>
    <x v="165"/>
    <s v="SP0000010246"/>
    <s v="VENTA MOSTRADOR"/>
    <s v="REVISION"/>
    <n v="258.62068965517244"/>
    <s v="OSCAR RIVAS"/>
    <m/>
    <x v="0"/>
  </r>
  <r>
    <s v="KARCHER "/>
    <x v="166"/>
    <s v="SP0000010247"/>
    <s v="VENTA MOSTRADOR"/>
    <s v="ACCESORIO"/>
    <n v="991.37931034482767"/>
    <s v="PISO"/>
    <m/>
    <x v="0"/>
  </r>
  <r>
    <s v="KARCHER "/>
    <x v="166"/>
    <s v="SP0000010248"/>
    <s v="MGROUP MAINTENANCE SERVICES"/>
    <s v="ACCESORIO"/>
    <n v="405.17241379310349"/>
    <s v="PISO"/>
    <m/>
    <x v="0"/>
  </r>
  <r>
    <s v="KARCHER "/>
    <x v="166"/>
    <s v="SP0000010249"/>
    <s v="VENTA MOSTRADOR"/>
    <s v="ACCESORIO"/>
    <n v="629.72413793103453"/>
    <s v="PISO"/>
    <m/>
    <x v="0"/>
  </r>
  <r>
    <s v="KARCHER "/>
    <x v="166"/>
    <s v="SP0000010250"/>
    <s v="VENTA MOSTRADOR"/>
    <s v="REVISION"/>
    <n v="258.62068965517244"/>
    <s v="OSCAR RIVAS"/>
    <m/>
    <x v="0"/>
  </r>
  <r>
    <s v="KARCHER "/>
    <x v="167"/>
    <s v="SP0000010251"/>
    <s v="VENTA MOSTRADOR"/>
    <s v="REFACCION-SERVICIO"/>
    <n v="1417.0000000000002"/>
    <s v="OSCAR RIVAS"/>
    <m/>
    <x v="0"/>
  </r>
  <r>
    <s v="KARCHER "/>
    <x v="168"/>
    <s v="SP0000010252"/>
    <s v="JOSE SERAFIN VALVERDE VALENCIA"/>
    <s v="ACCESORIO"/>
    <n v="560.35"/>
    <s v="PISO"/>
    <m/>
    <x v="0"/>
  </r>
  <r>
    <s v="KARCHER "/>
    <x v="168"/>
    <s v="SP0000010253"/>
    <s v="AUTOS PRO AMERICAS UNIDAS"/>
    <s v="EQUIPO PROFESIONAL"/>
    <n v="7500.0000000000009"/>
    <s v="RUBEN ARROYO"/>
    <s v="ASPIRADORA NT 30/1"/>
    <x v="0"/>
  </r>
  <r>
    <s v="KARCHER "/>
    <x v="168"/>
    <s v="SP0000010254"/>
    <s v="AGERTRON"/>
    <s v="ACCESORIO"/>
    <n v="1318.9741379310346"/>
    <s v="PISO"/>
    <m/>
    <x v="0"/>
  </r>
  <r>
    <s v="KARCHER "/>
    <x v="168"/>
    <s v="SP0000010255"/>
    <s v="AGERTRON"/>
    <s v="ACCESORIO"/>
    <n v="474.13793103448279"/>
    <s v="PISO"/>
    <m/>
    <x v="0"/>
  </r>
  <r>
    <s v="KARCHER "/>
    <x v="168"/>
    <s v="SP0000010256"/>
    <s v="VENTA MOSTRADOR"/>
    <s v="ACCESORIO"/>
    <n v="1318.9741379310346"/>
    <s v="PISO"/>
    <m/>
    <x v="0"/>
  </r>
  <r>
    <s v="KARCHER "/>
    <x v="168"/>
    <s v="SP0000010257"/>
    <s v="VENTA MOSTRADOR"/>
    <s v="ACCESORIO"/>
    <n v="2000.0000000000002"/>
    <s v="PISO"/>
    <m/>
    <x v="0"/>
  </r>
  <r>
    <s v="KARCHER "/>
    <x v="168"/>
    <s v="SP0000010258"/>
    <s v="VENTA MOSTRADOR"/>
    <s v="ACCESORIO"/>
    <n v="3017.2413793103451"/>
    <s v="PISO"/>
    <m/>
    <x v="0"/>
  </r>
  <r>
    <s v="KARCHER "/>
    <x v="168"/>
    <s v="SP0000010259"/>
    <s v="EQUIPOS Y LIMPIEZA DE ALTO NIVEL"/>
    <s v="REFACCION"/>
    <n v="1008"/>
    <s v="INTERNO"/>
    <m/>
    <x v="0"/>
  </r>
  <r>
    <s v="KARCHER "/>
    <x v="169"/>
    <s v="SP0000010260"/>
    <s v="VENTA MOSTRADOR"/>
    <s v="REFACCION-SERVICIO"/>
    <n v="1695.0000000000002"/>
    <s v="OSCAR RIVAS"/>
    <m/>
    <x v="0"/>
  </r>
  <r>
    <s v="KARCHER "/>
    <x v="169"/>
    <s v="SP0000010261"/>
    <s v="VENTA MOSTRADOR"/>
    <s v="SERVICIO"/>
    <n v="480.17241379310349"/>
    <s v="OSCAR RIVAS"/>
    <m/>
    <x v="0"/>
  </r>
  <r>
    <s v="KARCHER "/>
    <x v="169"/>
    <s v="SP0000010262"/>
    <s v="VENTA MOSTRADOR"/>
    <s v="REVISION"/>
    <n v="258.62068965517244"/>
    <s v="OSCAR RIVAS"/>
    <m/>
    <x v="0"/>
  </r>
  <r>
    <s v="KARCHER "/>
    <x v="10"/>
    <s v="SP0000010263"/>
    <s v="CANCELADA"/>
    <m/>
    <n v="0"/>
    <m/>
    <m/>
    <x v="0"/>
  </r>
  <r>
    <s v="KARCHER "/>
    <x v="170"/>
    <s v="SP0000010264"/>
    <s v="VENTA MOSTRADOR"/>
    <s v="REFACCION"/>
    <n v="327.58620689655174"/>
    <s v="OSCAR RIVAS"/>
    <m/>
    <x v="0"/>
  </r>
  <r>
    <s v="KARCHER "/>
    <x v="170"/>
    <s v="SP0000010265"/>
    <s v="VENTA MOSTRADOR"/>
    <s v="ACCESORIO"/>
    <n v="690"/>
    <s v="PISO"/>
    <m/>
    <x v="0"/>
  </r>
  <r>
    <s v="KARCHER "/>
    <x v="171"/>
    <s v="SP0000010266"/>
    <s v="VENTA MOSTRADOR"/>
    <s v="REVISION"/>
    <n v="258.62068965517244"/>
    <s v="OSCAR RIVAS"/>
    <m/>
    <x v="0"/>
  </r>
  <r>
    <s v="KARCHER "/>
    <x v="172"/>
    <s v="SP0000010267"/>
    <s v="VENTA MOSTRADOR"/>
    <s v="REFACCION-SERVICIO"/>
    <n v="1187.0000000000002"/>
    <s v="OSCAR RIVAS"/>
    <m/>
    <x v="0"/>
  </r>
  <r>
    <s v="KARCHER "/>
    <x v="172"/>
    <s v="SP0000010268"/>
    <s v="VENTA MOSTRADOR"/>
    <s v="REFACCION-SERVICIO"/>
    <n v="1443.0000000000002"/>
    <s v="OSCAR RIVAS"/>
    <m/>
    <x v="0"/>
  </r>
  <r>
    <s v="KARCHER "/>
    <x v="173"/>
    <s v="SP0000010269"/>
    <s v="VENTA MOSTRADOR"/>
    <s v="ACCESORIO"/>
    <n v="525.86206896551732"/>
    <s v="ANDREA"/>
    <m/>
    <x v="0"/>
  </r>
  <r>
    <s v="KARCHER "/>
    <x v="174"/>
    <s v="SP0000010270"/>
    <s v="TALLERES UNIDOS CHETO"/>
    <s v="REFACCION"/>
    <n v="413.79310344827587"/>
    <s v="OSCAR RIVAS"/>
    <m/>
    <x v="0"/>
  </r>
  <r>
    <s v="KARCHER "/>
    <x v="174"/>
    <s v="SP0000010271"/>
    <s v="DISTRIBUIDORA NACIONAL DE MOTOCICLETAS"/>
    <s v="REFACCION-SERVICIO"/>
    <n v="2828.0775862068967"/>
    <s v="RAUL SIERRA"/>
    <m/>
    <x v="0"/>
  </r>
  <r>
    <s v="KARCHER "/>
    <x v="175"/>
    <s v="SP0000010272"/>
    <s v="EQUIPOS Y LIMPIEZA DE ALTO NIVEL"/>
    <s v="REFACCION"/>
    <n v="2700"/>
    <s v="INTERNO"/>
    <m/>
    <x v="0"/>
  </r>
  <r>
    <s v="KARCHER "/>
    <x v="175"/>
    <s v="SP0000010273"/>
    <s v="VENTA MOSTRADOR"/>
    <s v="EQUIPO HOME &amp; GARDEN"/>
    <n v="2413.7931034482758"/>
    <s v="PISO"/>
    <s v="ASPIRADORA RCV 1"/>
    <x v="0"/>
  </r>
  <r>
    <s v="KARCHER "/>
    <x v="175"/>
    <s v="SP0000010274"/>
    <s v="VENTA MOSTRADOR"/>
    <s v="REVISION"/>
    <n v="258.62068965517244"/>
    <s v="OSCAR RIVAS"/>
    <m/>
    <x v="0"/>
  </r>
  <r>
    <s v="KARCHER "/>
    <x v="176"/>
    <s v="SP0000010275"/>
    <s v="EQUIPOS Y LIMPIEZA DE ALTO NIVEL"/>
    <m/>
    <n v="0"/>
    <m/>
    <m/>
    <x v="0"/>
  </r>
  <r>
    <s v="KARCHER "/>
    <x v="176"/>
    <s v="SP0000010276"/>
    <s v="ASOCIACION DE CONDOMINOS CERRADA DE LA "/>
    <s v="ACCESORIO"/>
    <n v="922.41379310344837"/>
    <s v="OSCAR RIVAS"/>
    <m/>
    <x v="0"/>
  </r>
  <r>
    <s v="KARCHER "/>
    <x v="176"/>
    <s v="SP0000010277"/>
    <s v="VENTA MOSTRADOR"/>
    <s v="REFACCION"/>
    <n v="258.62068965517244"/>
    <s v="PISO"/>
    <m/>
    <x v="0"/>
  </r>
  <r>
    <s v="KARCHER "/>
    <x v="176"/>
    <s v="SP0000010278"/>
    <s v="VENTA MOSTRADOR"/>
    <s v="REFACCION"/>
    <n v="144.82758620689657"/>
    <s v="PISO"/>
    <m/>
    <x v="0"/>
  </r>
  <r>
    <s v="KARCHER "/>
    <x v="177"/>
    <s v="SP0000010279"/>
    <s v="MGROUP MAINTENANCE SERVICES"/>
    <s v="ACCESORIO"/>
    <n v="387.93103448275866"/>
    <s v="PISO"/>
    <m/>
    <x v="0"/>
  </r>
  <r>
    <s v="KARCHER "/>
    <x v="178"/>
    <s v="SP0000010280"/>
    <s v="VENTA MOSTRADOR"/>
    <s v="SERVICIO"/>
    <n v="480"/>
    <s v="OSCAR RIVAS"/>
    <m/>
    <x v="0"/>
  </r>
  <r>
    <s v="KARCHER "/>
    <x v="178"/>
    <s v="SP0000010281"/>
    <s v="VENTA MOSTRADOR"/>
    <s v="REFACCION-SERVICIO"/>
    <n v="1032"/>
    <s v="OSCAR RIVAS"/>
    <m/>
    <x v="0"/>
  </r>
  <r>
    <s v="KARCHER "/>
    <x v="178"/>
    <s v="SP0000010282"/>
    <s v="TERMOPLASTICOS VEC"/>
    <s v="REFACCION"/>
    <n v="116.37931034482759"/>
    <s v="PISO"/>
    <m/>
    <x v="0"/>
  </r>
  <r>
    <s v="KARCHER "/>
    <x v="179"/>
    <s v="SP0000010283"/>
    <s v="COMERCIALIZADORA DE LLANTAS INDUSTRIALES"/>
    <s v="ACCESORIO"/>
    <n v="689.65517241379314"/>
    <s v="PISO"/>
    <m/>
    <x v="0"/>
  </r>
  <r>
    <s v="KARCHER "/>
    <x v="180"/>
    <s v="SP0000010284"/>
    <s v="VENTA MOSTRADOR"/>
    <s v="ACCESORIO"/>
    <n v="301.72413793103448"/>
    <s v="PISO"/>
    <m/>
    <x v="0"/>
  </r>
  <r>
    <s v="KARCHER "/>
    <x v="181"/>
    <s v="SP0000010285"/>
    <s v="CANCELADA"/>
    <m/>
    <n v="0"/>
    <m/>
    <m/>
    <x v="0"/>
  </r>
  <r>
    <s v="KARCHER "/>
    <x v="181"/>
    <s v="SP0000010286"/>
    <s v="VENTA MOSTRADOR"/>
    <s v="REVISION"/>
    <n v="258.62068965517244"/>
    <s v="OSCAR RIVAS"/>
    <m/>
    <x v="0"/>
  </r>
  <r>
    <s v="KARCHER "/>
    <x v="181"/>
    <s v="SP0000010287"/>
    <s v="BLOX SERVICE"/>
    <s v="REFACCION-SERVICIO"/>
    <n v="4480.0000000000009"/>
    <s v="RUBEN ARROYO"/>
    <m/>
    <x v="0"/>
  </r>
  <r>
    <s v="KARCHER "/>
    <x v="181"/>
    <s v="SP0000010288"/>
    <s v="BLOX SERVICE"/>
    <s v="REFACCION-SERVICIO"/>
    <n v="3014"/>
    <s v="RUBEN ARROYO"/>
    <m/>
    <x v="0"/>
  </r>
  <r>
    <s v="KARCHER "/>
    <x v="181"/>
    <s v="SP0000010289"/>
    <s v="BLOX SERVICE"/>
    <s v="REFACCION-SERVICIO"/>
    <n v="5140"/>
    <s v="RUBEN ARROYO"/>
    <m/>
    <x v="0"/>
  </r>
  <r>
    <s v="KARCHER "/>
    <x v="181"/>
    <s v="SP0000010290"/>
    <s v="VENTA MOSTRADOR"/>
    <s v="ACCESORIO"/>
    <n v="750"/>
    <s v="PISO"/>
    <m/>
    <x v="0"/>
  </r>
  <r>
    <s v="KARCHER "/>
    <x v="181"/>
    <s v="SP0000010291"/>
    <s v="MAQUE CAFÉ"/>
    <s v="REFACCION-SERVICIO"/>
    <n v="1160"/>
    <s v="OSCAR RIVAS"/>
    <m/>
    <x v="0"/>
  </r>
  <r>
    <s v="KARCHER "/>
    <x v="182"/>
    <s v="SP0000010292"/>
    <s v="VENTA MOSTRADOR"/>
    <s v="ACCESORIO"/>
    <n v="258.62068965517244"/>
    <s v="PISO"/>
    <m/>
    <x v="0"/>
  </r>
  <r>
    <s v="KARCHER "/>
    <x v="182"/>
    <s v="SP0000010293"/>
    <s v="EQUIPOS Y LIMPIEZA DE ALTO NIVEL"/>
    <s v="ACCESORIO"/>
    <n v="918.00000000000011"/>
    <s v="INTERNO"/>
    <m/>
    <x v="0"/>
  </r>
  <r>
    <s v="KARCHER "/>
    <x v="182"/>
    <s v="SP0000010294"/>
    <s v="VENTA MOSTRADOR"/>
    <s v="ACCESORIO"/>
    <n v="818.96551724137942"/>
    <s v="PISO"/>
    <m/>
    <x v="0"/>
  </r>
  <r>
    <s v="KARCHER "/>
    <x v="183"/>
    <s v="SP0000010295"/>
    <s v="VENTA MOSTRADOR"/>
    <s v="REFACCION-SERVICIO"/>
    <n v="1516"/>
    <s v="OSCAR RIVAS"/>
    <m/>
    <x v="0"/>
  </r>
  <r>
    <s v="KARCHER "/>
    <x v="183"/>
    <s v="SP0000010296"/>
    <s v="RAFAEL GUTIERREZ CAMARGO"/>
    <s v="ACCESORIO"/>
    <n v="1206.8965517241379"/>
    <s v="PISO"/>
    <m/>
    <x v="0"/>
  </r>
  <r>
    <s v="KARCHER "/>
    <x v="184"/>
    <s v="SP0000010297"/>
    <s v="VENTA MOSTRADOR"/>
    <s v="EQUIPO HOME &amp; GARDEN"/>
    <n v="5172.4137931034484"/>
    <s v="PISO"/>
    <s v="HIDROLAVADORA K 4 CAR"/>
    <x v="0"/>
  </r>
  <r>
    <s v="KARCHER "/>
    <x v="184"/>
    <s v="SP0000010298"/>
    <s v="VENTA MOSTRADOR"/>
    <s v="ACCESORIO"/>
    <n v="387.93103448275866"/>
    <s v="PISO"/>
    <m/>
    <x v="0"/>
  </r>
  <r>
    <s v="KARCHER "/>
    <x v="185"/>
    <s v="SP0000010299"/>
    <s v="VENTA MOSTRADOR"/>
    <s v="ACCESORIO"/>
    <n v="469.82758620689657"/>
    <s v="PISO"/>
    <m/>
    <x v="0"/>
  </r>
  <r>
    <s v="KARCHER "/>
    <x v="186"/>
    <s v="SP0000010300"/>
    <s v="VENTA MOSTRADOR"/>
    <s v="REFACCION-SERVICIO"/>
    <n v="1665.0000000000002"/>
    <s v="OSCAR RIVAS"/>
    <m/>
    <x v="0"/>
  </r>
  <r>
    <s v="KARCHER "/>
    <x v="186"/>
    <s v="SP0000010301"/>
    <s v="VENTA MOSTRADOR"/>
    <s v="REFACCION"/>
    <n v="810.00000000000011"/>
    <s v="PISO"/>
    <m/>
    <x v="0"/>
  </r>
  <r>
    <s v="KARCHER "/>
    <x v="187"/>
    <s v="SP0000010302"/>
    <s v="CATALINA AVALOS SILVA"/>
    <s v="REVISION"/>
    <n v="258.62068965517244"/>
    <s v="OSCAR RIVAS"/>
    <m/>
    <x v="0"/>
  </r>
  <r>
    <s v="KARCHER "/>
    <x v="187"/>
    <s v="SP0000010303"/>
    <s v="BLOX SERVICE"/>
    <s v="REFACCION-SERVICIO"/>
    <n v="12884.000000000002"/>
    <s v="RUBEN ARROYO"/>
    <m/>
    <x v="0"/>
  </r>
  <r>
    <s v="KARCHER "/>
    <x v="188"/>
    <s v="SP0000010304"/>
    <s v="CANCELADA"/>
    <m/>
    <n v="0"/>
    <m/>
    <m/>
    <x v="0"/>
  </r>
  <r>
    <s v="KARCHER "/>
    <x v="188"/>
    <s v="SP0000010305"/>
    <s v="CHRISTIAN GUILLERMO VAZQUEZ GONZALEZ"/>
    <s v="ACCESORIO"/>
    <n v="2155.1724137931037"/>
    <s v="PISO"/>
    <m/>
    <x v="0"/>
  </r>
  <r>
    <s v="KARCHER "/>
    <x v="189"/>
    <s v="SP0000010306"/>
    <s v="VENTA MOSTRADOR"/>
    <s v="REFACCION-SERVICIO"/>
    <n v="3640.4137931034488"/>
    <s v="OSCAR RIVAS"/>
    <m/>
    <x v="0"/>
  </r>
  <r>
    <s v="KARCHER "/>
    <x v="189"/>
    <s v="SP0000010307"/>
    <s v="VENTA MOSTRADOR"/>
    <s v="ACCESORIO"/>
    <n v="689.66379310344837"/>
    <s v="PISO"/>
    <m/>
    <x v="0"/>
  </r>
  <r>
    <s v="KARCHER "/>
    <x v="189"/>
    <s v="SP0000010308"/>
    <s v="CANCELADA"/>
    <m/>
    <n v="0"/>
    <m/>
    <m/>
    <x v="0"/>
  </r>
  <r>
    <s v="KARCHER "/>
    <x v="190"/>
    <s v="SP0000010309"/>
    <s v="CANCELADA"/>
    <m/>
    <n v="0"/>
    <m/>
    <m/>
    <x v="0"/>
  </r>
  <r>
    <s v="KARCHER "/>
    <x v="190"/>
    <s v="SP0000010310"/>
    <s v="IMPERIO AUTOMOTRIZ IZTAPALAPA"/>
    <s v="ACCESORIO"/>
    <n v="8945.0000000000018"/>
    <s v="RUBEN ARROYO"/>
    <m/>
    <x v="0"/>
  </r>
  <r>
    <s v="KARCHER "/>
    <x v="190"/>
    <s v="SP0000010311"/>
    <s v="MAQUE CAFÉ"/>
    <s v="REVISION"/>
    <n v="689.66379310344837"/>
    <s v="OSCAR RIVAS"/>
    <m/>
    <x v="0"/>
  </r>
  <r>
    <s v="KARCHER "/>
    <x v="190"/>
    <s v="SP0000010312"/>
    <s v="VENTA MOSTRADOR"/>
    <s v="ACCESORIO"/>
    <n v="818.96551724137942"/>
    <s v="PISO"/>
    <m/>
    <x v="0"/>
  </r>
  <r>
    <s v="KARCHER "/>
    <x v="191"/>
    <s v="SP0000010313"/>
    <s v="EQUIPOS Y LIMPIEZA DE ALTO NIVEL"/>
    <m/>
    <n v="0"/>
    <m/>
    <m/>
    <x v="0"/>
  </r>
  <r>
    <s v="KARCHER "/>
    <x v="191"/>
    <s v="SP0000010314"/>
    <s v="GRUPO AD PLASTICOS"/>
    <s v="REFACCION"/>
    <n v="413.79310344827587"/>
    <s v="PISO"/>
    <m/>
    <x v="0"/>
  </r>
  <r>
    <s v="KARCHER "/>
    <x v="192"/>
    <s v="SP0000010315"/>
    <s v="CAPTURACARBONO"/>
    <s v="ACCESORIO"/>
    <n v="1300"/>
    <s v="RUBEN ARROYO"/>
    <m/>
    <x v="0"/>
  </r>
  <r>
    <s v="KARCHER "/>
    <x v="193"/>
    <s v="SP0000010316"/>
    <s v="PARTNERTASTE"/>
    <s v="ACCESORIO"/>
    <n v="905.17241379310349"/>
    <s v="PISO"/>
    <m/>
    <x v="0"/>
  </r>
  <r>
    <s v="KARCHER "/>
    <x v="193"/>
    <s v="SP0000010317"/>
    <s v="VENTA MOSTRADOR"/>
    <s v="REFACCION"/>
    <n v="310.34482758620692"/>
    <s v="PISO"/>
    <m/>
    <x v="0"/>
  </r>
  <r>
    <s v="KARCHER "/>
    <x v="193"/>
    <s v="SP0000010318"/>
    <s v="EQUIPOS Y LIMPIEZA DE ALTO NIVEL"/>
    <s v="REFACCION"/>
    <n v="192.60344827586206"/>
    <s v="INTERNO"/>
    <m/>
    <x v="0"/>
  </r>
  <r>
    <s v="KARCHER "/>
    <x v="193"/>
    <s v="SP0000010319"/>
    <s v="EQUIPOS Y LIMPIEZA DE ALTO NIVEL"/>
    <s v="REFACCION"/>
    <n v="385.19827586206895"/>
    <s v="INTERNO"/>
    <m/>
    <x v="0"/>
  </r>
  <r>
    <s v="KARCHER "/>
    <x v="193"/>
    <s v="SP0000010320"/>
    <s v="EQUIPOS Y LIMPIEZA DE ALTO NIVEL"/>
    <s v="REFACCION"/>
    <n v="63"/>
    <s v="INTERNO"/>
    <m/>
    <x v="0"/>
  </r>
  <r>
    <s v="KARCHER "/>
    <x v="194"/>
    <s v="SP0000010321"/>
    <s v="VENTA MOSTRADOR"/>
    <s v="REFACCION"/>
    <n v="129.31034482758622"/>
    <s v="PISO"/>
    <m/>
    <x v="0"/>
  </r>
  <r>
    <s v="KARCHER "/>
    <x v="194"/>
    <s v="SP0000010322"/>
    <s v="VENTA MOSTRADOR"/>
    <s v="REFACCION-SERVICIO"/>
    <n v="2551"/>
    <s v="OSCAR RIVAS"/>
    <m/>
    <x v="0"/>
  </r>
  <r>
    <s v="KARCHER "/>
    <x v="195"/>
    <s v="SP0000010323"/>
    <s v="PARTNERTASTE"/>
    <s v="ACCESORIO"/>
    <n v="1465.5172413793105"/>
    <s v="PISO"/>
    <m/>
    <x v="0"/>
  </r>
  <r>
    <s v="KARCHER "/>
    <x v="195"/>
    <s v="SP0000010324"/>
    <s v="EQUIPOS Y LIMPIEZA DE ALTO NIVEL"/>
    <s v="ACCESORIO"/>
    <n v="3580.0000000000005"/>
    <s v="INTERNO"/>
    <m/>
    <x v="0"/>
  </r>
  <r>
    <s v="KARCHER "/>
    <x v="195"/>
    <s v="SP0000010325"/>
    <s v="ENVASES INIVERSALES DE MEXICO"/>
    <s v="ACCESORIO"/>
    <n v="9010.0000000000018"/>
    <s v="RUBEN ARROYO"/>
    <m/>
    <x v="0"/>
  </r>
  <r>
    <s v="KARCHER "/>
    <x v="196"/>
    <s v="SP0000010326"/>
    <s v="ROSARIO IRAIS GONZALEZ GALINDO"/>
    <s v="REFACCION"/>
    <n v="528"/>
    <s v="RAUL SIERRA"/>
    <m/>
    <x v="0"/>
  </r>
  <r>
    <s v="KARCHER "/>
    <x v="196"/>
    <s v="SP0000010327"/>
    <s v="VENTA MOSTRADOR"/>
    <s v="REFACCION"/>
    <n v="207.00000000000003"/>
    <s v="PISO"/>
    <m/>
    <x v="0"/>
  </r>
  <r>
    <s v="KARCHER "/>
    <x v="197"/>
    <s v="SP0000010328"/>
    <s v="CRISTINA MARIANO ALANIS"/>
    <s v="ACCESORIO"/>
    <n v="1465.5172413793105"/>
    <s v="OSCAR RIVAS"/>
    <m/>
    <x v="0"/>
  </r>
  <r>
    <s v="KARCHER "/>
    <x v="197"/>
    <s v="SP0000010329"/>
    <s v="VENTA MOSTRADOR"/>
    <s v="REFACCION-SERVICIO"/>
    <n v="1753.0000000000002"/>
    <s v="OSCAR RIVAS"/>
    <m/>
    <x v="0"/>
  </r>
  <r>
    <s v="KARCHER "/>
    <x v="197"/>
    <s v="SP0000010330"/>
    <s v="VENTA MOSTRADOR"/>
    <s v="ACCESORIO"/>
    <n v="172.41379310344828"/>
    <s v="PISO"/>
    <m/>
    <x v="0"/>
  </r>
  <r>
    <s v="KARCHER "/>
    <x v="198"/>
    <s v="SP0000010331"/>
    <s v="MARABU"/>
    <s v="REFACCION-SERVICIO"/>
    <n v="1425"/>
    <s v="OSCAR RIVAS"/>
    <m/>
    <x v="0"/>
  </r>
  <r>
    <s v="KARCHER "/>
    <x v="198"/>
    <s v="SP0000010332"/>
    <s v="EQUIPOS Y LIMPIEZA DE ALTO NIVEL"/>
    <m/>
    <n v="0"/>
    <m/>
    <m/>
    <x v="0"/>
  </r>
  <r>
    <s v="KARCHER "/>
    <x v="198"/>
    <s v="SP0000010333"/>
    <s v="GERARDO RANGEL GARCIA"/>
    <s v="REFACCION"/>
    <n v="1120.6896551724139"/>
    <s v="PISO"/>
    <m/>
    <x v="0"/>
  </r>
  <r>
    <s v="KARCHER "/>
    <x v="199"/>
    <s v="SP0000010334"/>
    <s v="IMPERIO AUTOMOTRIZ IZTAPALAPA"/>
    <s v="EQUIPO PROFESIONAL"/>
    <n v="15000.000000000002"/>
    <s v="RUBEN ARROYO"/>
    <s v="ASPIRADORA NT 30/1"/>
    <x v="0"/>
  </r>
  <r>
    <s v="KARCHER "/>
    <x v="199"/>
    <s v="SP0000010335"/>
    <s v="TRYP EDUCATION"/>
    <s v="REFACCION-SERVICIO"/>
    <n v="970.00000000000011"/>
    <s v="OSCAR RIVAS"/>
    <m/>
    <x v="0"/>
  </r>
  <r>
    <s v="KARCHER "/>
    <x v="200"/>
    <s v="SP0000010336"/>
    <s v="DAVID BARCENAS VAZQUEZ"/>
    <s v="REVISION"/>
    <n v="258.62068965517244"/>
    <s v="OSCAR RIVAS"/>
    <m/>
    <x v="0"/>
  </r>
  <r>
    <s v="KARCHER "/>
    <x v="200"/>
    <s v="SP0000010337"/>
    <s v="VENTA MOSTRADOR"/>
    <s v="ACCESORIO"/>
    <n v="301.72413793103448"/>
    <s v="PISO"/>
    <m/>
    <x v="0"/>
  </r>
  <r>
    <s v="KARCHER "/>
    <x v="201"/>
    <s v="SP0000010338"/>
    <s v="MECANO RACKS"/>
    <s v="ACCESORIO"/>
    <n v="1189.6637931034484"/>
    <s v="PISO"/>
    <m/>
    <x v="0"/>
  </r>
  <r>
    <s v="KARCHER "/>
    <x v="202"/>
    <s v="SP0000010339"/>
    <s v="VENTA MOSTRADOR"/>
    <s v="QUIMICO"/>
    <n v="172.41379310344828"/>
    <s v="PISO"/>
    <m/>
    <x v="0"/>
  </r>
  <r>
    <s v="KARCHER "/>
    <x v="203"/>
    <s v="SP0000010340"/>
    <s v="EQUIPOS Y LIMPIEZA DE ALTO NIVEL"/>
    <m/>
    <n v="0"/>
    <m/>
    <m/>
    <x v="0"/>
  </r>
  <r>
    <s v="KARCHER "/>
    <x v="203"/>
    <s v="SP0000010341"/>
    <s v="ALIMENTOS SUSALIA"/>
    <s v="ACCESORIO"/>
    <n v="1465.5172413793105"/>
    <s v="PISO"/>
    <m/>
    <x v="0"/>
  </r>
  <r>
    <s v="KARCHER "/>
    <x v="203"/>
    <s v="SP0000010342"/>
    <s v="CANCELADA"/>
    <m/>
    <n v="0"/>
    <m/>
    <m/>
    <x v="0"/>
  </r>
  <r>
    <s v="KARCHER "/>
    <x v="204"/>
    <s v="SP0000010343"/>
    <s v="BLANCA ALBA CASTILLO"/>
    <s v="EQUIPO HOME &amp; GARDEN"/>
    <n v="1629.3103448275863"/>
    <s v="PISO"/>
    <s v="ASPIRADORA WD 1"/>
    <x v="0"/>
  </r>
  <r>
    <s v="KARCHER "/>
    <x v="204"/>
    <s v="SP0000010344"/>
    <s v="VENTA MOSTRADOR"/>
    <s v="ACCESORIO"/>
    <n v="413.79310344827587"/>
    <s v="PISO"/>
    <m/>
    <x v="0"/>
  </r>
  <r>
    <s v="KARCHER "/>
    <x v="205"/>
    <s v="SP0000010345"/>
    <s v="JACKSON DAWSON DE MEXICO"/>
    <s v="REFACCION-SERVICIO"/>
    <n v="1724.1379310344828"/>
    <s v="RUBEN ARROYO"/>
    <m/>
    <x v="0"/>
  </r>
  <r>
    <s v="KARCHER "/>
    <x v="205"/>
    <s v="SP0000010346"/>
    <s v="VENTA MOSTRADOR"/>
    <s v="REFACCION-SERVICIO"/>
    <n v="721.00000000000011"/>
    <s v="OSCAR RIVAS"/>
    <m/>
    <x v="0"/>
  </r>
  <r>
    <s v="KARCHER "/>
    <x v="205"/>
    <s v="SP0000010347"/>
    <s v="OLGA ISABEL MORETT GONZALEZ"/>
    <s v="REFACCION"/>
    <n v="517.23275862068965"/>
    <s v="PISO"/>
    <m/>
    <x v="0"/>
  </r>
  <r>
    <s v="KARCHER "/>
    <x v="206"/>
    <s v="SP0000010348"/>
    <s v="EQUIPOS Y LIMPIEZA DE ALTO NIVEL"/>
    <s v="ACCESORIO"/>
    <n v="981.00000000000011"/>
    <s v="INTERNO"/>
    <m/>
    <x v="0"/>
  </r>
  <r>
    <s v="KARCHER "/>
    <x v="206"/>
    <s v="SP0000010349"/>
    <s v="VENTA MOSTRADOR"/>
    <s v="REFACCION-SERVICIO"/>
    <n v="1997.0000000000002"/>
    <s v="OSCAR RIVAS"/>
    <m/>
    <x v="0"/>
  </r>
  <r>
    <s v="KARCHER "/>
    <x v="206"/>
    <s v="SP0000010350"/>
    <s v="VENTA MOSTRADOR"/>
    <s v="REFACCION-SERVICIO"/>
    <n v="9538.6637931034493"/>
    <s v="OSCAR RIVAS"/>
    <m/>
    <x v="0"/>
  </r>
  <r>
    <s v="KARCHER "/>
    <x v="207"/>
    <s v="SP0000010351"/>
    <s v="DISEÑO Y SELECCIÓN ALTVAF"/>
    <s v="REVISION"/>
    <n v="258.62068965517244"/>
    <s v="OSCAR RIVAS"/>
    <m/>
    <x v="0"/>
  </r>
  <r>
    <s v="KARCHER "/>
    <x v="208"/>
    <s v="SP0000010352"/>
    <s v="CENTRO DEPORTIVO CHAPULTEPEC"/>
    <s v="REFACCION-SERVICIO"/>
    <n v="40217.000000000007"/>
    <s v="RUBEN ARROYO"/>
    <m/>
    <x v="0"/>
  </r>
  <r>
    <s v="KARCHER "/>
    <x v="208"/>
    <s v="SP0000010353"/>
    <s v="CAMARA NACIONAL DE LA INDUSTRIA"/>
    <s v="SERVICIO"/>
    <n v="47500"/>
    <s v="ANDREA GONZALEZ"/>
    <m/>
    <x v="0"/>
  </r>
  <r>
    <s v="KARCHER "/>
    <x v="208"/>
    <s v="SP0000010354"/>
    <s v="OSCAR GENARO MARTINEZ SEANEZ"/>
    <s v="REFACCION-SERVICIO"/>
    <n v="12238"/>
    <s v="OSCAR RIVAS"/>
    <m/>
    <x v="0"/>
  </r>
  <r>
    <s v="KARCHER "/>
    <x v="205"/>
    <s v="SP0000010355"/>
    <s v="BLOX SERVICE"/>
    <s v="REFACCION-SERVICIO"/>
    <n v="6610.0000000000009"/>
    <s v="RUBEN ARROYO"/>
    <m/>
    <x v="0"/>
  </r>
  <r>
    <s v="KARCHER "/>
    <x v="205"/>
    <s v="SP0000010356"/>
    <s v="BLOX SERVICE"/>
    <s v="REFACCION-SERVICIO"/>
    <n v="3870"/>
    <s v="RUBEN ARROYO"/>
    <m/>
    <x v="0"/>
  </r>
  <r>
    <s v="KARCHER "/>
    <x v="209"/>
    <s v="SP0000010357"/>
    <s v="EQUIPOS Y LIMPIEZA DE ALTO NIVEL"/>
    <s v="ACCESORIO"/>
    <n v="3123"/>
    <s v="INTERNO"/>
    <m/>
    <x v="0"/>
  </r>
  <r>
    <s v="KARCHER "/>
    <x v="209"/>
    <s v="SP0000010358"/>
    <s v="EQUIPOS Y LIMPIEZA DE ALTO NIVEL"/>
    <s v="ACCESORIO"/>
    <n v="2911.5000000000005"/>
    <s v="INTERNO"/>
    <m/>
    <x v="0"/>
  </r>
  <r>
    <s v="KARCHER "/>
    <x v="209"/>
    <s v="SP0000010359"/>
    <s v="EQUIPOS Y LIMPIEZA DE ALTO NIVEL"/>
    <s v="EQUIPO PROFESIONAL"/>
    <n v="16830"/>
    <s v="RUBEN ARROYO"/>
    <s v="ASPIRADORA NT 48/1"/>
    <x v="0"/>
  </r>
  <r>
    <s v="KARCHER "/>
    <x v="209"/>
    <s v="SP0000010360"/>
    <s v="MANEJO DE ACTIVOS "/>
    <s v="ACCESORIO"/>
    <n v="17534"/>
    <s v="RUBEN ARROYO"/>
    <m/>
    <x v="0"/>
  </r>
  <r>
    <s v="KARCHER "/>
    <x v="210"/>
    <s v="SP0000010361"/>
    <s v="VENTA MOSTRADOR"/>
    <s v="ACCESORIO"/>
    <n v="172.41379310344828"/>
    <s v="PISO"/>
    <m/>
    <x v="0"/>
  </r>
  <r>
    <s v="KARCHER "/>
    <x v="210"/>
    <s v="SP0000010362"/>
    <s v="VENTA MOSTRADOR"/>
    <s v="ACCESORIO"/>
    <n v="172.41379310344828"/>
    <s v="PISO"/>
    <m/>
    <x v="0"/>
  </r>
  <r>
    <s v="KARCHER "/>
    <x v="211"/>
    <s v="SP0000010363"/>
    <s v="SIEMPRE CUIDADOS DE SALUD MEXICO"/>
    <m/>
    <n v="0"/>
    <m/>
    <m/>
    <x v="0"/>
  </r>
  <r>
    <s v="KARCHER "/>
    <x v="212"/>
    <s v="SP0000010364"/>
    <s v="ARRENDOMOVIL DE MEXICO"/>
    <s v="EQUIPO PROFESIONAL"/>
    <n v="7040"/>
    <s v="RUBEN ARROYO"/>
    <s v="ASPIRADORA NT 48/1"/>
    <x v="0"/>
  </r>
  <r>
    <s v="KARCHER "/>
    <x v="212"/>
    <s v="SP0000010365"/>
    <s v="CIMARRON SMART BISINESS"/>
    <s v="REFACCION"/>
    <n v="413.79310344827587"/>
    <s v="PISO"/>
    <m/>
    <x v="0"/>
  </r>
  <r>
    <s v="KARCHER "/>
    <x v="212"/>
    <s v="SP0000010366"/>
    <s v="EXCELENCIA AUTOMOTRIZ DEL NORTE"/>
    <s v="EQUIPO PROFESIONAL"/>
    <n v="14080"/>
    <s v="RUBEN ARROYO"/>
    <s v="ASPIRADORA NT 40/1"/>
    <x v="0"/>
  </r>
  <r>
    <s v="KARCHER "/>
    <x v="213"/>
    <s v="SP0000010367"/>
    <s v="VENTA MOSTRADOR"/>
    <s v="ACCESORIO"/>
    <n v="172.41379310344828"/>
    <s v="PISO"/>
    <m/>
    <x v="0"/>
  </r>
  <r>
    <s v="KARCHER "/>
    <x v="213"/>
    <s v="SP0000010368"/>
    <s v="VENTA MOSTRADOR"/>
    <s v="REFACCION-SERVICIO"/>
    <n v="883"/>
    <s v="OSCAR RIVAS"/>
    <m/>
    <x v="0"/>
  </r>
  <r>
    <s v="KARCHER "/>
    <x v="213"/>
    <s v="SP0000010369"/>
    <s v="EQUIPOS Y LIMPIEZA DE ALTO NIVEL"/>
    <s v="ACCESORIO"/>
    <n v="670.45689655172418"/>
    <s v="INTERNO"/>
    <m/>
    <x v="0"/>
  </r>
  <r>
    <s v="KARCHER "/>
    <x v="213"/>
    <s v="SP0000010370"/>
    <s v="VENTA MOSTRADOR"/>
    <s v="ACCESORIO"/>
    <n v="258.62068965517244"/>
    <s v="PISO"/>
    <m/>
    <x v="0"/>
  </r>
  <r>
    <s v="KARCHER "/>
    <x v="213"/>
    <s v="SP0000010371"/>
    <s v="VENTA MOSTRADOR"/>
    <s v="REFACCION-SERVICIO"/>
    <n v="2204"/>
    <s v="OSCAR RIVAS"/>
    <m/>
    <x v="0"/>
  </r>
  <r>
    <s v="KARCHER "/>
    <x v="213"/>
    <s v="SP0000010372"/>
    <s v="VENTA MOSTRADOR"/>
    <s v="ACCESORIO"/>
    <n v="129.31896551724137"/>
    <s v="PISO"/>
    <m/>
    <x v="0"/>
  </r>
  <r>
    <s v="KARCHER "/>
    <x v="213"/>
    <s v="SP0000010373"/>
    <s v="VENTA MOSTRADOR"/>
    <s v="REVISION"/>
    <n v="258.62068965517244"/>
    <s v="OSCAR RIVAS"/>
    <m/>
    <x v="0"/>
  </r>
  <r>
    <s v="KARCHER "/>
    <x v="213"/>
    <s v="SP0000010374"/>
    <s v="VENTA MOSTRADOR"/>
    <s v="REFACCION"/>
    <n v="359.49137931034483"/>
    <s v="PISO"/>
    <m/>
    <x v="0"/>
  </r>
  <r>
    <s v="KARCHER "/>
    <x v="214"/>
    <s v="SP0000010375"/>
    <s v="VENTA MOSTRADOR"/>
    <s v="REFACCION-SERVICIO"/>
    <n v="1974.0000000000002"/>
    <s v="OSCAR RIVAS"/>
    <m/>
    <x v="0"/>
  </r>
  <r>
    <s v="KARCHER "/>
    <x v="214"/>
    <s v="SP0000010376"/>
    <s v="VENTA MOSTRADOR"/>
    <s v="REFACCION-SERVICIO"/>
    <n v="1409.0000000000002"/>
    <s v="OSCAR RIVAS"/>
    <m/>
    <x v="0"/>
  </r>
  <r>
    <s v="KARCHER "/>
    <x v="214"/>
    <s v="SP0000010377"/>
    <s v="VENTA MOSTRADOR"/>
    <s v="SERVICIO"/>
    <n v="480"/>
    <s v="OSCAR RIVAS"/>
    <m/>
    <x v="0"/>
  </r>
  <r>
    <s v="KARCHER "/>
    <x v="214"/>
    <s v="SP0000010378"/>
    <s v="EQUIPOS Y LIMPIEZA DE ALTO NIVEL"/>
    <m/>
    <n v="0"/>
    <m/>
    <m/>
    <x v="0"/>
  </r>
  <r>
    <s v="KARCHER "/>
    <x v="215"/>
    <s v="SP0000010379"/>
    <s v="EXCELENCIA AUTOMOTRIZ DEL NORTE"/>
    <s v="EQUIPO PROFESIONAL"/>
    <n v="21428"/>
    <s v="RUBEN ARROYO"/>
    <s v="HIDROLAVADORA HD 6/15"/>
    <x v="0"/>
  </r>
  <r>
    <s v="KARCHER "/>
    <x v="215"/>
    <s v="SP0000010380"/>
    <s v="VENTA MOSTRADOR"/>
    <s v="REFACCION-SERVICIO"/>
    <n v="2001"/>
    <s v="OSCAR RIVAS"/>
    <m/>
    <x v="0"/>
  </r>
  <r>
    <s v="KARCHER "/>
    <x v="216"/>
    <s v="SP0000010381"/>
    <s v="TACTIQ SUPPLY"/>
    <s v="REFACCION"/>
    <n v="129.31034482758622"/>
    <s v="PISO"/>
    <m/>
    <x v="0"/>
  </r>
  <r>
    <s v="KARCHER "/>
    <x v="217"/>
    <s v="SP0000010382"/>
    <s v="VENTA MOSTRADOR"/>
    <s v="REVISION"/>
    <n v="258.62068965517244"/>
    <s v="OSCAR RIVAS"/>
    <m/>
    <x v="0"/>
  </r>
  <r>
    <s v="KARCHER "/>
    <x v="217"/>
    <s v="SP0000010383"/>
    <s v="FIDEICOMISO F/1596"/>
    <s v="REFACCION"/>
    <n v="1724.1379310344828"/>
    <s v="OSCAR RIVAS"/>
    <m/>
    <x v="0"/>
  </r>
  <r>
    <s v="KARCHER "/>
    <x v="217"/>
    <s v="SP0000010384"/>
    <s v="FIDEICOMISO F/1596"/>
    <s v="REFACCION-SERVICIO"/>
    <n v="1724.1379310344828"/>
    <s v="OSCAR RIVAS"/>
    <m/>
    <x v="0"/>
  </r>
  <r>
    <s v="KARCHER "/>
    <x v="217"/>
    <s v="SP0000010385"/>
    <s v="VENTA MOSTRADOR"/>
    <s v="EQUIPO HOME &amp; GARDEN"/>
    <n v="3103.4482758620693"/>
    <s v="PISO"/>
    <s v="HIDROLAVADORA K 2 INDUCTION"/>
    <x v="0"/>
  </r>
  <r>
    <s v="KARCHER "/>
    <x v="217"/>
    <s v="SP0000010386"/>
    <s v="FIDEICOMISO F/1596"/>
    <s v="REFACCION"/>
    <n v="1213.7241379310346"/>
    <s v="OSCAR RIVAS"/>
    <m/>
    <x v="0"/>
  </r>
  <r>
    <s v="KARCHER "/>
    <x v="217"/>
    <s v="SP0000010387"/>
    <s v="FURIA MOTORS MEXICO"/>
    <s v="EQUIPO HOME &amp; GARDEN"/>
    <n v="9406.8965517241377"/>
    <s v="RUBEN ARROYO"/>
    <s v="2- HIDROLAVADORA K 4 PREMIUM"/>
    <x v="0"/>
  </r>
  <r>
    <s v="KARCHER "/>
    <x v="218"/>
    <s v="SP0000010388"/>
    <s v="SERGIO QUINTO SANCHEZ"/>
    <s v="REFACCION-SERVICIO"/>
    <n v="2707"/>
    <s v="OSCAR RIVAS"/>
    <m/>
    <x v="0"/>
  </r>
  <r>
    <s v="KARCHER "/>
    <x v="218"/>
    <s v="SP0000010389"/>
    <s v="VENTA MOSTRADOR"/>
    <s v="REFACCION-SERVICIO"/>
    <n v="897"/>
    <s v="OSCAR RIVAS"/>
    <m/>
    <x v="0"/>
  </r>
  <r>
    <s v="KARCHER "/>
    <x v="218"/>
    <s v="SP0000010390"/>
    <s v="AGUA &amp; ENERGIS EN MOVIMIENTO"/>
    <s v="REFACCION-SERVICIO"/>
    <n v="1791"/>
    <s v="OSCAR RIVAS"/>
    <m/>
    <x v="0"/>
  </r>
  <r>
    <s v="KARCHER "/>
    <x v="218"/>
    <s v="SP0000010391"/>
    <s v="VENTA MOSTRADOR"/>
    <s v="REFACCION-SERVICIO"/>
    <n v="2230.0000000000005"/>
    <s v="OSCAR RIVAS"/>
    <m/>
    <x v="0"/>
  </r>
  <r>
    <s v="KARCHER "/>
    <x v="219"/>
    <s v="SP0000010392"/>
    <s v="EQUIPOS Y LIMPIEZA DE ALTO NIVEL"/>
    <s v="EQUIPO HOME &amp; GARDEN"/>
    <n v="3430.0000000000005"/>
    <s v="RUBEN ARROYO"/>
    <s v="VAPORIZADOR SC 2"/>
    <x v="0"/>
  </r>
  <r>
    <s v="KARCHER "/>
    <x v="219"/>
    <s v="SP0000010393"/>
    <s v="ENVASES UNIVERSALES DE MEXICO"/>
    <s v="SERVICIO"/>
    <n v="14654.198275862069"/>
    <s v="RUBEN ARROYO"/>
    <m/>
    <x v="0"/>
  </r>
  <r>
    <s v="KARCHER "/>
    <x v="219"/>
    <s v="SP0000010394"/>
    <s v="ENVASES UNIVERSALES DE MEXICO"/>
    <s v="REFACCION"/>
    <n v="3515.0000000000005"/>
    <s v="RUBEN ARROYO"/>
    <m/>
    <x v="0"/>
  </r>
  <r>
    <s v="KARCHER "/>
    <x v="219"/>
    <s v="SP0000010395"/>
    <s v="VENTA MOSTRADOR"/>
    <s v="REFACCION-SERVICIO"/>
    <n v="1170.0000000000002"/>
    <s v="OSCAR RIVAS"/>
    <m/>
    <x v="0"/>
  </r>
  <r>
    <s v="KARCHER "/>
    <x v="220"/>
    <s v="SP0000010396"/>
    <s v="EQUIPOS Y LIMPIEZA DE ALTO NIVEL"/>
    <m/>
    <n v="0"/>
    <m/>
    <m/>
    <x v="0"/>
  </r>
  <r>
    <s v="KARCHER "/>
    <x v="220"/>
    <s v="SP0000010397"/>
    <s v="VENTA MOSTRADOR"/>
    <s v="REFACCION"/>
    <n v="301.60344827586209"/>
    <s v="PISO"/>
    <m/>
    <x v="0"/>
  </r>
  <r>
    <s v="KARCHER "/>
    <x v="221"/>
    <s v="SP0000010398"/>
    <s v="ANTONIO CATALAN DIAZ"/>
    <s v="ACCESORIO"/>
    <n v="862.06896551724139"/>
    <s v="PISO"/>
    <m/>
    <x v="0"/>
  </r>
  <r>
    <s v="KARCHER "/>
    <x v="222"/>
    <s v="SP0000010399"/>
    <s v="JERONIMO VICTOR SANTIAGO MARTINEZ"/>
    <s v="ACCESORIO"/>
    <n v="1465.5172413793105"/>
    <s v="PISO"/>
    <m/>
    <x v="0"/>
  </r>
  <r>
    <s v="KARCHER "/>
    <x v="222"/>
    <s v="SP0000010400"/>
    <s v="BLOX SERVICE"/>
    <s v="REFACCION-SERVICIO"/>
    <n v="2156"/>
    <s v="RUBEN ARROYO"/>
    <m/>
    <x v="0"/>
  </r>
  <r>
    <s v="KARCHER "/>
    <x v="222"/>
    <s v="SP0000010401"/>
    <s v="VENTA MOSTRADOR"/>
    <s v="REFACCION"/>
    <n v="431.0344827586207"/>
    <s v="OSCAR RIVAS"/>
    <m/>
    <x v="0"/>
  </r>
  <r>
    <s v="KARCHER "/>
    <x v="222"/>
    <s v="SP0000010402"/>
    <s v="VENTA MOSTRADOR"/>
    <s v="REFACCION-SERVICIO"/>
    <n v="2649.0000000000005"/>
    <s v="OSCAR RIVAS"/>
    <m/>
    <x v="0"/>
  </r>
  <r>
    <s v="KARCHER "/>
    <x v="222"/>
    <s v="SP0000010403"/>
    <s v="ROMAY OLVERA ELIZALDE"/>
    <s v="REFACCION-SERVICIO"/>
    <n v="2275"/>
    <s v="OSCAR RIVAS"/>
    <m/>
    <x v="0"/>
  </r>
  <r>
    <s v="KARCHER "/>
    <x v="222"/>
    <s v="SP0000010404"/>
    <s v="VENTA MOSTRADOR"/>
    <s v="REFACCION-SERVICIO"/>
    <n v="1495.0000000000002"/>
    <s v="OSCAR RIVAS"/>
    <m/>
    <x v="0"/>
  </r>
  <r>
    <s v="KARCHER "/>
    <x v="223"/>
    <s v="SP0000010405"/>
    <s v="EQUIPOS Y LIMPIEZA DE ALTO NIVEL"/>
    <s v="ACCESORIO"/>
    <n v="2178"/>
    <s v="INTERNO"/>
    <m/>
    <x v="0"/>
  </r>
  <r>
    <s v="KARCHER "/>
    <x v="223"/>
    <s v="SP0000010406"/>
    <s v="CRESTA IZTAPALAPA"/>
    <s v="ACCESORIO"/>
    <n v="5280.0000000000009"/>
    <s v="RUBEN ARROYO"/>
    <m/>
    <x v="0"/>
  </r>
  <r>
    <s v="KARCHER "/>
    <x v="223"/>
    <s v="SP0000010407"/>
    <s v="VENTA MOSTRADOR"/>
    <s v="ACCESORIO"/>
    <n v="262.06896551724139"/>
    <s v="PISO"/>
    <m/>
    <x v="0"/>
  </r>
  <r>
    <s v="KARCHER "/>
    <x v="224"/>
    <s v="SP0000010408"/>
    <s v="EQUIPOS Y LIMPIEZA DE ALTO NIVEL"/>
    <s v="ACCESORIO"/>
    <n v="954.00000000000011"/>
    <s v="INTERNO"/>
    <m/>
    <x v="0"/>
  </r>
  <r>
    <s v="KARCHER "/>
    <x v="224"/>
    <s v="SP0000010409"/>
    <s v="EQUIPOS Y LIMPIEZA DE ALTO NIVEL"/>
    <s v="ACCESORIO"/>
    <n v="954.00000000000011"/>
    <s v="INTERNO"/>
    <m/>
    <x v="0"/>
  </r>
  <r>
    <s v="KARCHER "/>
    <x v="224"/>
    <s v="SP0000010410"/>
    <s v="DISEÑO Y SELECCIÓN ALTVAF"/>
    <s v="REFACCION-SERVICIO"/>
    <n v="2119.3620689655172"/>
    <s v="OSCAR RIVAS"/>
    <m/>
    <x v="0"/>
  </r>
  <r>
    <s v="KARCHER "/>
    <x v="224"/>
    <s v="SP0000010411"/>
    <s v="GERARDO RODRIGO ACEVEDO AAREGUIN "/>
    <s v="ACCESORIO"/>
    <n v="1465.5172413793105"/>
    <s v="PISO"/>
    <m/>
    <x v="0"/>
  </r>
  <r>
    <s v="KARCHER "/>
    <x v="224"/>
    <s v="SP0000010412"/>
    <s v="ACEROS Y METALES LA DIVINA"/>
    <s v="REFACCION-SERVICIO"/>
    <n v="2448"/>
    <s v="OSCAR RIVAS"/>
    <m/>
    <x v="0"/>
  </r>
  <r>
    <s v="KARCHER "/>
    <x v="224"/>
    <s v="SP0000010413"/>
    <s v="VENTA MOSTRADOR"/>
    <s v="REFACCION-SERVICIO"/>
    <n v="3425.0000000000005"/>
    <s v="OSCAR RIVAS"/>
    <m/>
    <x v="0"/>
  </r>
  <r>
    <s v="KARCHER "/>
    <x v="224"/>
    <s v="SP0000010414"/>
    <s v="VENTA MOSTRADOR"/>
    <s v="ACCESORIO"/>
    <n v="431.0344827586207"/>
    <s v="PISO"/>
    <m/>
    <x v="0"/>
  </r>
  <r>
    <s v="KARCHER "/>
    <x v="225"/>
    <s v="SP0000010415"/>
    <s v="VENTA MOSTRADOR"/>
    <s v="ACCESORIO"/>
    <n v="129.31034482758622"/>
    <s v="PISO"/>
    <m/>
    <x v="0"/>
  </r>
  <r>
    <s v="KARCHER "/>
    <x v="226"/>
    <s v="SP0000010416"/>
    <s v="RUBBISH SERVICES &amp; INDUSTRIAL WASTE"/>
    <s v="ACCESORIO"/>
    <n v="301.72413793103448"/>
    <s v="PISO"/>
    <m/>
    <x v="0"/>
  </r>
  <r>
    <s v="KARCHER "/>
    <x v="226"/>
    <s v="SP0000010417"/>
    <s v="BEST BRAKES MEXICO"/>
    <s v="REFACCION"/>
    <n v="2896.5517241379312"/>
    <s v="OSCAR RIVAS"/>
    <m/>
    <x v="0"/>
  </r>
  <r>
    <m/>
    <x v="10"/>
    <m/>
    <m/>
    <m/>
    <m/>
    <m/>
    <m/>
    <x v="1"/>
  </r>
  <r>
    <s v="NILFISK"/>
    <x v="8"/>
    <s v="E 576"/>
    <s v="ASOCIACION DE CONDOMINOS OLIVO 114"/>
    <s v="REVISION"/>
    <n v="1231.04"/>
    <s v="JOSE LUIS"/>
    <m/>
    <x v="1"/>
  </r>
  <r>
    <s v="NILFISK"/>
    <x v="227"/>
    <s v="E 577"/>
    <s v="CALIDAD EN SISTEMAS DE LIMPIEZA"/>
    <s v="EQUIPO PROFESIONAL"/>
    <n v="16458.75"/>
    <s v="INTERNO"/>
    <m/>
    <x v="1"/>
  </r>
  <r>
    <s v="NILFISK"/>
    <x v="13"/>
    <s v="E 578"/>
    <s v="BLOX SERVICE"/>
    <s v="REFACCION"/>
    <n v="5550"/>
    <s v="SERGIO AGUILERA"/>
    <m/>
    <x v="1"/>
  </r>
  <r>
    <s v="NILFISK"/>
    <x v="22"/>
    <s v="E 579"/>
    <s v="SOLUCIONES ALEMANAS DE LIMPIEZA"/>
    <s v="REFACCION"/>
    <n v="3722"/>
    <s v="INTERNO"/>
    <m/>
    <x v="1"/>
  </r>
  <r>
    <s v="NILFISK"/>
    <x v="23"/>
    <s v="E 580"/>
    <s v="CALIDAD EN SISTEMAS DE LIMPIEZA"/>
    <s v="EQUIPO PROFESIONAL"/>
    <n v="589736.93999999994"/>
    <s v="INTERNO"/>
    <m/>
    <x v="1"/>
  </r>
  <r>
    <s v="NILFISK"/>
    <x v="228"/>
    <s v="E 581"/>
    <s v="CANCELADA"/>
    <m/>
    <n v="0"/>
    <m/>
    <m/>
    <x v="1"/>
  </r>
  <r>
    <s v="NILFISK"/>
    <x v="26"/>
    <s v="E 582"/>
    <s v="OMESE"/>
    <s v="ACCESORIO"/>
    <n v="4500"/>
    <s v="OSCAR GUERRERO"/>
    <m/>
    <x v="1"/>
  </r>
  <r>
    <s v="NILFISK"/>
    <x v="27"/>
    <s v="E 583"/>
    <s v="ORIGINA PRODUCCIONES"/>
    <s v="EQUIPO PROFESIONAL"/>
    <n v="24500"/>
    <s v="RUBEN ARROYO"/>
    <m/>
    <x v="1"/>
  </r>
  <r>
    <s v="NILFISK"/>
    <x v="30"/>
    <s v="E 584"/>
    <s v="CADENA COMERCIAL OXXO"/>
    <s v="REFACCION"/>
    <n v="10412.049999999999"/>
    <s v="OSCAR GUERRERO"/>
    <m/>
    <x v="1"/>
  </r>
  <r>
    <s v="NILFISK"/>
    <x v="32"/>
    <s v="E 585"/>
    <s v="LUIS HECTOR MILLAN PLATA"/>
    <s v="RENTA DE EQUIPO"/>
    <n v="25000"/>
    <s v="OSCAR GUERRERO"/>
    <m/>
    <x v="1"/>
  </r>
  <r>
    <s v="NILFISK"/>
    <x v="37"/>
    <s v="E 586"/>
    <s v="OMESE"/>
    <s v="REFACCION"/>
    <n v="797"/>
    <s v="OSCAR GUERRERO"/>
    <m/>
    <x v="1"/>
  </r>
  <r>
    <s v="NILFISK"/>
    <x v="37"/>
    <s v="E 587"/>
    <s v="BLOX SERVICE"/>
    <s v="REFACCION"/>
    <n v="5400"/>
    <s v="SERGIO AGUILERA"/>
    <m/>
    <x v="1"/>
  </r>
  <r>
    <s v="NILFISK"/>
    <x v="40"/>
    <s v="E 588"/>
    <s v="VENTA MOSTRADOR"/>
    <s v="REFACCION"/>
    <n v="816.2"/>
    <s v="PISO"/>
    <m/>
    <x v="1"/>
  </r>
  <r>
    <s v="NILFISK"/>
    <x v="43"/>
    <s v="E 589"/>
    <s v="GIVAUDAN DE MEXICO"/>
    <s v="REFACCION"/>
    <n v="4683"/>
    <s v="OSCAR GUERRERO"/>
    <m/>
    <x v="1"/>
  </r>
  <r>
    <s v="NILFISK"/>
    <x v="229"/>
    <s v="E 590"/>
    <s v="GIVAUDAN DE MEXICO"/>
    <s v="REFACCION"/>
    <n v="1259.2"/>
    <s v="OSCAR GUERRERO"/>
    <m/>
    <x v="1"/>
  </r>
  <r>
    <s v="NILFISK"/>
    <x v="229"/>
    <s v="E 591"/>
    <s v="GIVAUDAN DE MEXICO"/>
    <s v="REFACCION"/>
    <n v="2091.1999999999998"/>
    <s v="OSCAR GUERRERO"/>
    <m/>
    <x v="1"/>
  </r>
  <r>
    <s v="NILFISK"/>
    <x v="229"/>
    <s v="E 592"/>
    <s v="GIVAUDAN DE MEXICO"/>
    <s v="REFACCION"/>
    <n v="5095.8"/>
    <s v="OSCAR GUERRERO"/>
    <m/>
    <x v="1"/>
  </r>
  <r>
    <s v="NILFISK"/>
    <x v="229"/>
    <s v="E 593"/>
    <s v="GIVAUDAN DE MEXICO"/>
    <s v="REFACCION"/>
    <n v="1721.8"/>
    <s v="OSCAR GUERRERO"/>
    <m/>
    <x v="1"/>
  </r>
  <r>
    <s v="NILFISK"/>
    <x v="229"/>
    <s v="E 594"/>
    <s v="GIVAUDAN DE MEXICO"/>
    <s v="REFACCION"/>
    <n v="1642.6"/>
    <s v="OSCAR GUERRERO"/>
    <m/>
    <x v="1"/>
  </r>
  <r>
    <s v="NILFISK"/>
    <x v="229"/>
    <s v="E 595"/>
    <s v="GIVAUDAN DE MEXICO"/>
    <s v="REFACCION"/>
    <n v="150"/>
    <s v="OSCAR GUERRERO"/>
    <m/>
    <x v="1"/>
  </r>
  <r>
    <s v="MASISA"/>
    <x v="50"/>
    <s v="E 596"/>
    <s v="WORL INGREDIENTS"/>
    <s v="EQUIPO PROFESIONAL"/>
    <n v="67915"/>
    <s v="RUBEN ARROYO"/>
    <m/>
    <x v="1"/>
  </r>
  <r>
    <s v="KARCHER "/>
    <x v="55"/>
    <s v="E 597"/>
    <s v="MALTA TEXO DE MEXICO"/>
    <s v="EQUIPO PROFESIONAL"/>
    <n v="23670"/>
    <s v="RUBEN ARROYO"/>
    <m/>
    <x v="1"/>
  </r>
  <r>
    <s v="KARCHER "/>
    <x v="61"/>
    <s v="E 598"/>
    <s v="OMESE"/>
    <s v="OSCAR GUERRERO"/>
    <n v="98940"/>
    <s v="OSCAR GUERRERO"/>
    <m/>
    <x v="1"/>
  </r>
  <r>
    <s v="NILFISK"/>
    <x v="70"/>
    <s v="E 599"/>
    <s v="GIVAUDAN"/>
    <s v="OSCAR GUERRERO"/>
    <n v="809.01"/>
    <s v="OSCAR GUERRERO"/>
    <m/>
    <x v="1"/>
  </r>
  <r>
    <s v="NILFISK"/>
    <x v="81"/>
    <s v="E 600"/>
    <s v="CANCELADA"/>
    <m/>
    <n v="0"/>
    <m/>
    <m/>
    <x v="1"/>
  </r>
  <r>
    <s v="KARCHER "/>
    <x v="83"/>
    <s v="E 601"/>
    <s v="SOLUCIONES ALEMANAS DE LIMPIEZA"/>
    <s v="REFACCION"/>
    <n v="2166"/>
    <s v="INTERNO"/>
    <m/>
    <x v="1"/>
  </r>
  <r>
    <s v="KARCHER "/>
    <x v="88"/>
    <s v="E 602"/>
    <s v="OMESE"/>
    <s v="ACCESORIO"/>
    <n v="6777.96"/>
    <s v="OSCAR GUERRERO"/>
    <m/>
    <x v="1"/>
  </r>
  <r>
    <s v="NILFISK"/>
    <x v="93"/>
    <s v="E 603"/>
    <s v="OMESE"/>
    <s v="RENTA DE EQUIPO"/>
    <n v="23100"/>
    <s v="OSCAR GUERRERO"/>
    <m/>
    <x v="1"/>
  </r>
  <r>
    <s v="KARCHER "/>
    <x v="106"/>
    <s v="E 604"/>
    <s v="ORIGINA PRODUCCIONES"/>
    <s v="EQUIPO PROFESIONAL"/>
    <n v="374400"/>
    <s v="RUBEN ARROYO"/>
    <m/>
    <x v="1"/>
  </r>
  <r>
    <s v="KARCHER "/>
    <x v="120"/>
    <s v="E 605"/>
    <s v="ASOCIACION DE COLONOS DE BOSQUES DE SANTA FE"/>
    <s v="EQUPO H&amp;G"/>
    <n v="1619.83"/>
    <s v="RUBEN ARROYO"/>
    <m/>
    <x v="1"/>
  </r>
  <r>
    <s v="ZING"/>
    <x v="120"/>
    <s v="E 607"/>
    <s v="METROCOLOR DE MEXICO"/>
    <s v="VENTA DE BOTES"/>
    <n v="49694.68"/>
    <s v="OSCAR GUERRERO"/>
    <m/>
    <x v="1"/>
  </r>
  <r>
    <s v="MANGUERAS"/>
    <x v="230"/>
    <s v="E 608"/>
    <s v="ELECTRODOS INFRA"/>
    <s v="REFACCION"/>
    <n v="2001"/>
    <s v="SERGIO AGUILERA"/>
    <m/>
    <x v="1"/>
  </r>
  <r>
    <s v="MANGUERAS"/>
    <x v="230"/>
    <s v="E 609"/>
    <s v="ELECTRODOS INFRA"/>
    <s v="REFACCION"/>
    <n v="27668"/>
    <s v="SERGIO AGUILERA"/>
    <m/>
    <x v="1"/>
  </r>
  <r>
    <s v="MANGUERAS"/>
    <x v="230"/>
    <s v="E 610"/>
    <s v="ELECTRODOS INFRA"/>
    <s v="REFACCION"/>
    <n v="7425"/>
    <s v="SERGIO AGUILERA"/>
    <m/>
    <x v="1"/>
  </r>
  <r>
    <s v="NILFISK"/>
    <x v="140"/>
    <s v="E 611"/>
    <s v="GIVAUDAN DE MEXICO"/>
    <s v="REFACCION"/>
    <n v="47340.480000000003"/>
    <s v="OSCAR GUERRERO"/>
    <m/>
    <x v="1"/>
  </r>
  <r>
    <s v="NILFISK"/>
    <x v="140"/>
    <s v="E 612"/>
    <s v="GIVAUDAN DE MEXICO"/>
    <s v="REFACCION"/>
    <n v="19627.57"/>
    <s v="OSCAR GUERRERO"/>
    <m/>
    <x v="1"/>
  </r>
  <r>
    <s v="NILFISK"/>
    <x v="156"/>
    <s v="E 613"/>
    <s v="INMOBILIARIA CINEMATOGRAFIA DEL NORTE"/>
    <s v="SERVICIO"/>
    <n v="9050"/>
    <s v="OSCAR GUERRERO"/>
    <m/>
    <x v="1"/>
  </r>
  <r>
    <s v="NILFISK"/>
    <x v="158"/>
    <s v="E 614"/>
    <s v="CANCELADA"/>
    <m/>
    <n v="0"/>
    <m/>
    <m/>
    <x v="1"/>
  </r>
  <r>
    <s v="KARCHER "/>
    <x v="161"/>
    <s v="E 615"/>
    <s v="WORL INGREDIENTES"/>
    <s v="ACCESORIO"/>
    <n v="2746.55"/>
    <s v="RUBEN ARROYO"/>
    <m/>
    <x v="1"/>
  </r>
  <r>
    <s v="NILFISK"/>
    <x v="171"/>
    <s v="E 616"/>
    <s v="ELECTRODOS INFRA"/>
    <s v="SERVICIO"/>
    <n v="13735"/>
    <s v="OSCAR GUERRERO"/>
    <m/>
    <x v="1"/>
  </r>
  <r>
    <s v="NILFISK"/>
    <x v="181"/>
    <s v="E 617"/>
    <s v="GIVAUDAN DE MEXICO"/>
    <s v="REVISION"/>
    <n v="13520"/>
    <s v="OSCAR GUERRERO"/>
    <m/>
    <x v="1"/>
  </r>
  <r>
    <s v="NILFISK"/>
    <x v="181"/>
    <s v="E 618"/>
    <s v="GIVAUDAN DE MEXICO"/>
    <s v="REVISION"/>
    <n v="13520"/>
    <s v="OSCAR GUERRERO"/>
    <m/>
    <x v="1"/>
  </r>
  <r>
    <s v="NILFISK"/>
    <x v="181"/>
    <s v="E 619"/>
    <s v="GIVAUDAN DE MEXICO"/>
    <s v="REVISION"/>
    <n v="13520"/>
    <s v="OSCAR GUERRERO"/>
    <m/>
    <x v="1"/>
  </r>
  <r>
    <s v="NILFISK"/>
    <x v="181"/>
    <s v="E 620"/>
    <s v="GIVAUDAN DE MEXICO"/>
    <s v="REVISION"/>
    <n v="13520"/>
    <s v="OSCAR GUERRERO"/>
    <m/>
    <x v="1"/>
  </r>
  <r>
    <s v="NILFISK"/>
    <x v="189"/>
    <s v="E 621"/>
    <s v="OMESE"/>
    <s v="REPARACION"/>
    <n v="7300"/>
    <s v="OSCAR GUERRERO"/>
    <m/>
    <x v="1"/>
  </r>
  <r>
    <s v="KARCHER "/>
    <x v="189"/>
    <s v="E 622"/>
    <s v="VENTA MOSTRADOR"/>
    <s v="EQUIPO PROFESIONAL"/>
    <n v="23000"/>
    <s v="OSCAR GUERRERO"/>
    <m/>
    <x v="1"/>
  </r>
  <r>
    <s v="NILFISK"/>
    <x v="201"/>
    <s v="E 623"/>
    <s v="INMOBILIARIA CINEMATOGRAFICA DEL NORTE"/>
    <s v="SERVICIO"/>
    <n v="9050"/>
    <s v="OSCAR GUERRERO"/>
    <m/>
    <x v="1"/>
  </r>
  <r>
    <s v="KARCHER "/>
    <x v="209"/>
    <s v="E 624"/>
    <s v="WORL INGREDIENTS"/>
    <s v="EQUIPO PROFESIONAL"/>
    <n v="16980"/>
    <s v="RUBEN ARROYO"/>
    <m/>
    <x v="1"/>
  </r>
  <r>
    <s v="NILFISK"/>
    <x v="231"/>
    <s v="E 625"/>
    <s v="INMOBILIARIA CINEMATOGRAFICA DEL NORTE"/>
    <s v="SERVICIO"/>
    <n v="9050"/>
    <s v="OSCAR GUERRERO"/>
    <m/>
    <x v="1"/>
  </r>
  <r>
    <s v="KARCHER "/>
    <x v="219"/>
    <s v="E 626"/>
    <s v="WORL INGREDIENTS"/>
    <s v="EQUIPO HOME &amp; GARDEN"/>
    <n v="3480"/>
    <s v="RUBEN ARROYO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F7151-35F3-4AA0-B290-7BAC0F8ABE0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N18" firstHeaderRow="1" firstDataRow="2" firstDataCol="1"/>
  <pivotFields count="11">
    <pivotField showAll="0"/>
    <pivotField axis="axisRow" showAll="0">
      <items count="233">
        <item x="0"/>
        <item x="1"/>
        <item x="2"/>
        <item x="3"/>
        <item x="4"/>
        <item x="5"/>
        <item x="6"/>
        <item x="7"/>
        <item x="8"/>
        <item x="9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28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229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30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31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a de ventas_usd" fld="5" baseField="0" baseItem="0" numFmtId="44"/>
  </dataFields>
  <formats count="3">
    <format dxfId="0">
      <pivotArea outline="0" collapsedLevelsAreSubtotals="1" fieldPosition="0"/>
    </format>
    <format dxfId="1">
      <pivotArea dataOnly="0" labelOnly="1" fieldPosition="0">
        <references count="1">
          <reference field="8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F00C-A14F-45E8-B371-367F80589FC6}">
  <dimension ref="A1:N1500"/>
  <sheetViews>
    <sheetView workbookViewId="0">
      <selection sqref="A1:XFD1500"/>
    </sheetView>
  </sheetViews>
  <sheetFormatPr baseColWidth="10" defaultRowHeight="15" x14ac:dyDescent="0.25"/>
  <sheetData>
    <row r="1" spans="1:14" x14ac:dyDescent="0.25">
      <c r="A1" s="63" t="s">
        <v>1</v>
      </c>
      <c r="B1" s="5" t="s">
        <v>0</v>
      </c>
      <c r="C1" s="63" t="s">
        <v>5</v>
      </c>
      <c r="D1" s="63" t="s">
        <v>2</v>
      </c>
      <c r="E1" s="63" t="s">
        <v>4</v>
      </c>
      <c r="F1" s="64" t="s">
        <v>2050</v>
      </c>
      <c r="G1" s="63" t="s">
        <v>3</v>
      </c>
      <c r="H1" s="63" t="s">
        <v>86</v>
      </c>
      <c r="I1" s="63" t="s">
        <v>85</v>
      </c>
      <c r="J1" s="1" t="s">
        <v>2049</v>
      </c>
    </row>
    <row r="2" spans="1:14" ht="15.75" x14ac:dyDescent="0.25">
      <c r="A2" s="6" t="s">
        <v>33</v>
      </c>
      <c r="B2" s="5">
        <v>45293</v>
      </c>
      <c r="C2" s="6" t="s">
        <v>87</v>
      </c>
      <c r="D2" s="6" t="s">
        <v>88</v>
      </c>
      <c r="E2" s="6" t="s">
        <v>10</v>
      </c>
      <c r="F2" s="45">
        <v>193.50000000000003</v>
      </c>
      <c r="G2" s="6" t="s">
        <v>34</v>
      </c>
      <c r="H2" s="6"/>
      <c r="I2" s="65" t="s">
        <v>83</v>
      </c>
    </row>
    <row r="3" spans="1:14" ht="15.75" x14ac:dyDescent="0.25">
      <c r="A3" s="6" t="s">
        <v>33</v>
      </c>
      <c r="B3" s="5">
        <v>45293</v>
      </c>
      <c r="C3" s="6" t="s">
        <v>89</v>
      </c>
      <c r="D3" s="6" t="s">
        <v>88</v>
      </c>
      <c r="E3" s="6" t="s">
        <v>10</v>
      </c>
      <c r="F3" s="45">
        <v>684.00000000000011</v>
      </c>
      <c r="G3" s="6" t="s">
        <v>34</v>
      </c>
      <c r="H3" s="6"/>
      <c r="I3" s="65" t="s">
        <v>83</v>
      </c>
      <c r="K3" s="9" t="s">
        <v>82</v>
      </c>
      <c r="L3" s="9" t="s">
        <v>944</v>
      </c>
    </row>
    <row r="4" spans="1:14" ht="15.75" x14ac:dyDescent="0.25">
      <c r="A4" s="6" t="s">
        <v>33</v>
      </c>
      <c r="B4" s="5">
        <v>45294</v>
      </c>
      <c r="C4" s="6" t="s">
        <v>90</v>
      </c>
      <c r="D4" s="6" t="s">
        <v>14</v>
      </c>
      <c r="E4" s="6" t="s">
        <v>10</v>
      </c>
      <c r="F4" s="45">
        <v>301.72413793103448</v>
      </c>
      <c r="G4" s="6" t="s">
        <v>91</v>
      </c>
      <c r="H4" s="6"/>
      <c r="I4" s="65" t="s">
        <v>83</v>
      </c>
      <c r="K4" s="9" t="s">
        <v>68</v>
      </c>
      <c r="L4" s="11" t="s">
        <v>84</v>
      </c>
      <c r="M4" s="11" t="s">
        <v>83</v>
      </c>
      <c r="N4" s="11" t="s">
        <v>69</v>
      </c>
    </row>
    <row r="5" spans="1:14" ht="15.75" x14ac:dyDescent="0.25">
      <c r="A5" s="6" t="s">
        <v>33</v>
      </c>
      <c r="B5" s="5">
        <v>45294</v>
      </c>
      <c r="C5" s="6" t="s">
        <v>92</v>
      </c>
      <c r="D5" s="6" t="s">
        <v>14</v>
      </c>
      <c r="E5" s="6" t="s">
        <v>18</v>
      </c>
      <c r="F5" s="45">
        <v>413.79310344827587</v>
      </c>
      <c r="G5" s="6" t="s">
        <v>91</v>
      </c>
      <c r="H5" s="6"/>
      <c r="I5" s="65" t="s">
        <v>83</v>
      </c>
      <c r="K5" s="10" t="s">
        <v>943</v>
      </c>
      <c r="L5" s="11"/>
      <c r="M5" s="11">
        <v>0</v>
      </c>
      <c r="N5" s="11">
        <v>0</v>
      </c>
    </row>
    <row r="6" spans="1:14" ht="15.75" x14ac:dyDescent="0.25">
      <c r="A6" s="6" t="s">
        <v>33</v>
      </c>
      <c r="B6" s="5">
        <v>45294</v>
      </c>
      <c r="C6" s="6" t="s">
        <v>93</v>
      </c>
      <c r="D6" s="6" t="s">
        <v>14</v>
      </c>
      <c r="E6" s="6" t="s">
        <v>11</v>
      </c>
      <c r="F6" s="45">
        <v>517.24137931034488</v>
      </c>
      <c r="G6" s="6" t="s">
        <v>15</v>
      </c>
      <c r="H6" s="6"/>
      <c r="I6" s="65" t="s">
        <v>83</v>
      </c>
      <c r="K6" s="10" t="s">
        <v>70</v>
      </c>
      <c r="L6" s="11">
        <v>26961.79</v>
      </c>
      <c r="M6" s="11">
        <v>398411.25862068968</v>
      </c>
      <c r="N6" s="11">
        <v>425373.04862068966</v>
      </c>
    </row>
    <row r="7" spans="1:14" ht="15.75" x14ac:dyDescent="0.25">
      <c r="A7" s="6" t="s">
        <v>33</v>
      </c>
      <c r="B7" s="5">
        <v>45294</v>
      </c>
      <c r="C7" s="6" t="s">
        <v>94</v>
      </c>
      <c r="D7" s="6" t="s">
        <v>14</v>
      </c>
      <c r="E7" s="6" t="s">
        <v>16</v>
      </c>
      <c r="F7" s="45">
        <v>5100</v>
      </c>
      <c r="G7" s="6" t="s">
        <v>15</v>
      </c>
      <c r="H7" s="6"/>
      <c r="I7" s="65" t="s">
        <v>83</v>
      </c>
      <c r="K7" s="10" t="s">
        <v>71</v>
      </c>
      <c r="L7" s="11">
        <v>660345.99</v>
      </c>
      <c r="M7" s="11">
        <v>288946.06896551716</v>
      </c>
      <c r="N7" s="11">
        <v>949292.05896551721</v>
      </c>
    </row>
    <row r="8" spans="1:14" ht="15.75" x14ac:dyDescent="0.25">
      <c r="A8" s="6" t="s">
        <v>33</v>
      </c>
      <c r="B8" s="5">
        <v>45295</v>
      </c>
      <c r="C8" s="6" t="s">
        <v>95</v>
      </c>
      <c r="D8" s="6" t="s">
        <v>14</v>
      </c>
      <c r="E8" s="6" t="s">
        <v>10</v>
      </c>
      <c r="F8" s="45">
        <v>43.103448275862071</v>
      </c>
      <c r="G8" s="6" t="s">
        <v>91</v>
      </c>
      <c r="H8" s="6"/>
      <c r="I8" s="65" t="s">
        <v>83</v>
      </c>
      <c r="K8" s="10" t="s">
        <v>72</v>
      </c>
      <c r="L8" s="11">
        <v>109044.79999999999</v>
      </c>
      <c r="M8" s="11">
        <v>101285.41379310343</v>
      </c>
      <c r="N8" s="11">
        <v>210330.21379310341</v>
      </c>
    </row>
    <row r="9" spans="1:14" ht="15.75" x14ac:dyDescent="0.25">
      <c r="A9" s="6" t="s">
        <v>33</v>
      </c>
      <c r="B9" s="5">
        <v>45295</v>
      </c>
      <c r="C9" s="6" t="s">
        <v>96</v>
      </c>
      <c r="D9" s="6" t="s">
        <v>14</v>
      </c>
      <c r="E9" s="6" t="s">
        <v>10</v>
      </c>
      <c r="F9" s="45">
        <v>440.51724137931035</v>
      </c>
      <c r="G9" s="6" t="s">
        <v>91</v>
      </c>
      <c r="H9" s="6"/>
      <c r="I9" s="65" t="s">
        <v>83</v>
      </c>
      <c r="K9" s="10" t="s">
        <v>73</v>
      </c>
      <c r="L9" s="11">
        <v>99749.01</v>
      </c>
      <c r="M9" s="11">
        <v>121440.81034482758</v>
      </c>
      <c r="N9" s="11">
        <v>221189.82034482757</v>
      </c>
    </row>
    <row r="10" spans="1:14" ht="15.75" x14ac:dyDescent="0.25">
      <c r="A10" s="6" t="s">
        <v>33</v>
      </c>
      <c r="B10" s="5">
        <v>45296</v>
      </c>
      <c r="C10" s="6" t="s">
        <v>97</v>
      </c>
      <c r="D10" s="6" t="s">
        <v>30</v>
      </c>
      <c r="E10" s="6"/>
      <c r="F10" s="45">
        <v>0</v>
      </c>
      <c r="G10" s="6"/>
      <c r="H10" s="6"/>
      <c r="I10" s="65" t="s">
        <v>83</v>
      </c>
      <c r="K10" s="10" t="s">
        <v>74</v>
      </c>
      <c r="L10" s="11">
        <v>8943.9599999999991</v>
      </c>
      <c r="M10" s="11">
        <v>273529.55172413797</v>
      </c>
      <c r="N10" s="11">
        <v>282473.51172413799</v>
      </c>
    </row>
    <row r="11" spans="1:14" ht="15.75" x14ac:dyDescent="0.25">
      <c r="A11" s="6" t="s">
        <v>33</v>
      </c>
      <c r="B11" s="5">
        <v>45296</v>
      </c>
      <c r="C11" s="6" t="s">
        <v>98</v>
      </c>
      <c r="D11" s="6" t="s">
        <v>99</v>
      </c>
      <c r="E11" s="6" t="s">
        <v>18</v>
      </c>
      <c r="F11" s="45">
        <v>215.51724137931035</v>
      </c>
      <c r="G11" s="6" t="s">
        <v>91</v>
      </c>
      <c r="H11" s="6"/>
      <c r="I11" s="65" t="s">
        <v>83</v>
      </c>
      <c r="K11" s="10" t="s">
        <v>75</v>
      </c>
      <c r="L11" s="11">
        <v>397500</v>
      </c>
      <c r="M11" s="11">
        <v>521119.87931034487</v>
      </c>
      <c r="N11" s="11">
        <v>918619.87931034481</v>
      </c>
    </row>
    <row r="12" spans="1:14" ht="15.75" x14ac:dyDescent="0.25">
      <c r="A12" s="6" t="s">
        <v>33</v>
      </c>
      <c r="B12" s="5">
        <v>45296</v>
      </c>
      <c r="C12" s="6" t="s">
        <v>100</v>
      </c>
      <c r="D12" s="6" t="s">
        <v>14</v>
      </c>
      <c r="E12" s="6" t="s">
        <v>10</v>
      </c>
      <c r="F12" s="45">
        <v>2741.3793103448279</v>
      </c>
      <c r="G12" s="6" t="s">
        <v>91</v>
      </c>
      <c r="H12" s="6"/>
      <c r="I12" s="65" t="s">
        <v>83</v>
      </c>
      <c r="K12" s="10" t="s">
        <v>76</v>
      </c>
      <c r="L12" s="11">
        <v>51314.51</v>
      </c>
      <c r="M12" s="11">
        <v>168667.6551724138</v>
      </c>
      <c r="N12" s="11">
        <v>219982.16517241381</v>
      </c>
    </row>
    <row r="13" spans="1:14" ht="15.75" x14ac:dyDescent="0.25">
      <c r="A13" s="6" t="s">
        <v>33</v>
      </c>
      <c r="B13" s="5">
        <v>45296</v>
      </c>
      <c r="C13" s="6" t="s">
        <v>101</v>
      </c>
      <c r="D13" s="6" t="s">
        <v>14</v>
      </c>
      <c r="E13" s="6" t="s">
        <v>10</v>
      </c>
      <c r="F13" s="45">
        <v>1465.5172413793105</v>
      </c>
      <c r="G13" s="6" t="s">
        <v>91</v>
      </c>
      <c r="H13" s="6"/>
      <c r="I13" s="65" t="s">
        <v>83</v>
      </c>
      <c r="K13" s="10" t="s">
        <v>77</v>
      </c>
      <c r="L13" s="11">
        <v>104062.05000000002</v>
      </c>
      <c r="M13" s="11">
        <v>129080.47413793103</v>
      </c>
      <c r="N13" s="11">
        <v>233142.52413793106</v>
      </c>
    </row>
    <row r="14" spans="1:14" ht="15.75" x14ac:dyDescent="0.25">
      <c r="A14" s="6" t="s">
        <v>33</v>
      </c>
      <c r="B14" s="5">
        <v>45296</v>
      </c>
      <c r="C14" s="6" t="s">
        <v>102</v>
      </c>
      <c r="D14" s="6" t="s">
        <v>103</v>
      </c>
      <c r="E14" s="6" t="s">
        <v>10</v>
      </c>
      <c r="F14" s="45">
        <v>1465.5172413793105</v>
      </c>
      <c r="G14" s="6" t="s">
        <v>15</v>
      </c>
      <c r="H14" s="6"/>
      <c r="I14" s="65" t="s">
        <v>83</v>
      </c>
      <c r="K14" s="10" t="s">
        <v>78</v>
      </c>
      <c r="L14" s="11">
        <v>11796.55</v>
      </c>
      <c r="M14" s="11">
        <v>182590.49999999994</v>
      </c>
      <c r="N14" s="11">
        <v>194387.04999999993</v>
      </c>
    </row>
    <row r="15" spans="1:14" ht="15.75" x14ac:dyDescent="0.25">
      <c r="A15" s="6" t="s">
        <v>33</v>
      </c>
      <c r="B15" s="5">
        <v>45297</v>
      </c>
      <c r="C15" s="6" t="s">
        <v>104</v>
      </c>
      <c r="D15" s="7" t="s">
        <v>14</v>
      </c>
      <c r="E15" s="6" t="s">
        <v>16</v>
      </c>
      <c r="F15" s="45">
        <v>3022</v>
      </c>
      <c r="G15" s="7" t="s">
        <v>15</v>
      </c>
      <c r="H15" s="6"/>
      <c r="I15" s="65" t="s">
        <v>83</v>
      </c>
      <c r="K15" s="10" t="s">
        <v>79</v>
      </c>
      <c r="L15" s="11">
        <v>67815</v>
      </c>
      <c r="M15" s="11">
        <v>81752.444827586223</v>
      </c>
      <c r="N15" s="11">
        <v>149567.44482758624</v>
      </c>
    </row>
    <row r="16" spans="1:14" ht="15.75" x14ac:dyDescent="0.25">
      <c r="A16" s="6" t="s">
        <v>33</v>
      </c>
      <c r="B16" s="5">
        <v>45297</v>
      </c>
      <c r="C16" s="6" t="s">
        <v>105</v>
      </c>
      <c r="D16" s="6" t="s">
        <v>106</v>
      </c>
      <c r="E16" s="6" t="s">
        <v>16</v>
      </c>
      <c r="F16" s="45">
        <v>2843.3362068965521</v>
      </c>
      <c r="G16" s="6" t="s">
        <v>15</v>
      </c>
      <c r="H16" s="6"/>
      <c r="I16" s="65" t="s">
        <v>83</v>
      </c>
      <c r="K16" s="10" t="s">
        <v>80</v>
      </c>
      <c r="L16" s="11">
        <v>56330</v>
      </c>
      <c r="M16" s="11">
        <v>230078.29310344832</v>
      </c>
      <c r="N16" s="11">
        <v>286408.29310344835</v>
      </c>
    </row>
    <row r="17" spans="1:14" ht="15.75" x14ac:dyDescent="0.25">
      <c r="A17" s="6" t="s">
        <v>33</v>
      </c>
      <c r="B17" s="5">
        <v>45297</v>
      </c>
      <c r="C17" s="6" t="s">
        <v>107</v>
      </c>
      <c r="D17" s="6" t="s">
        <v>14</v>
      </c>
      <c r="E17" s="6" t="s">
        <v>11</v>
      </c>
      <c r="F17" s="45">
        <v>258.62068965517244</v>
      </c>
      <c r="G17" s="6" t="s">
        <v>15</v>
      </c>
      <c r="H17" s="6"/>
      <c r="I17" s="65" t="s">
        <v>83</v>
      </c>
      <c r="K17" s="10" t="s">
        <v>81</v>
      </c>
      <c r="L17" s="11">
        <v>12530</v>
      </c>
      <c r="M17" s="11">
        <v>136195.98275862072</v>
      </c>
      <c r="N17" s="11">
        <v>148725.98275862072</v>
      </c>
    </row>
    <row r="18" spans="1:14" ht="15.75" x14ac:dyDescent="0.25">
      <c r="A18" s="6" t="s">
        <v>33</v>
      </c>
      <c r="B18" s="5">
        <v>45297</v>
      </c>
      <c r="C18" s="6" t="s">
        <v>108</v>
      </c>
      <c r="D18" s="6" t="s">
        <v>30</v>
      </c>
      <c r="E18" s="6"/>
      <c r="F18" s="45">
        <v>0</v>
      </c>
      <c r="G18" s="6"/>
      <c r="H18" s="6"/>
      <c r="I18" s="65" t="s">
        <v>83</v>
      </c>
      <c r="K18" s="10" t="s">
        <v>69</v>
      </c>
      <c r="L18" s="11">
        <v>1606393.6600000001</v>
      </c>
      <c r="M18" s="11">
        <v>2633098.3327586208</v>
      </c>
      <c r="N18" s="11">
        <v>4239491.9927586205</v>
      </c>
    </row>
    <row r="19" spans="1:14" ht="15.75" x14ac:dyDescent="0.25">
      <c r="A19" s="6" t="s">
        <v>33</v>
      </c>
      <c r="B19" s="5">
        <v>45297</v>
      </c>
      <c r="C19" s="6" t="s">
        <v>109</v>
      </c>
      <c r="D19" s="6" t="s">
        <v>88</v>
      </c>
      <c r="E19" s="6" t="s">
        <v>10</v>
      </c>
      <c r="F19" s="45">
        <v>918.00000000000011</v>
      </c>
      <c r="G19" s="6" t="s">
        <v>34</v>
      </c>
      <c r="H19" s="6"/>
      <c r="I19" s="65" t="s">
        <v>83</v>
      </c>
    </row>
    <row r="20" spans="1:14" ht="15.75" x14ac:dyDescent="0.25">
      <c r="A20" s="6" t="s">
        <v>33</v>
      </c>
      <c r="B20" s="5">
        <v>45299</v>
      </c>
      <c r="C20" s="6" t="s">
        <v>110</v>
      </c>
      <c r="D20" s="6" t="s">
        <v>14</v>
      </c>
      <c r="E20" s="6" t="s">
        <v>18</v>
      </c>
      <c r="F20" s="45">
        <v>258.62068965517244</v>
      </c>
      <c r="G20" s="6" t="s">
        <v>91</v>
      </c>
      <c r="H20" s="6"/>
      <c r="I20" s="65" t="s">
        <v>83</v>
      </c>
    </row>
    <row r="21" spans="1:14" ht="15.75" x14ac:dyDescent="0.25">
      <c r="A21" s="6" t="s">
        <v>33</v>
      </c>
      <c r="B21" s="5">
        <v>45300</v>
      </c>
      <c r="C21" s="6" t="s">
        <v>111</v>
      </c>
      <c r="D21" s="6" t="s">
        <v>14</v>
      </c>
      <c r="E21" s="6" t="s">
        <v>10</v>
      </c>
      <c r="F21" s="45">
        <v>715.51724137931035</v>
      </c>
      <c r="G21" s="6" t="s">
        <v>91</v>
      </c>
      <c r="H21" s="6"/>
      <c r="I21" s="65" t="s">
        <v>83</v>
      </c>
    </row>
    <row r="22" spans="1:14" ht="15.75" x14ac:dyDescent="0.25">
      <c r="A22" s="6" t="s">
        <v>33</v>
      </c>
      <c r="B22" s="5">
        <v>45300</v>
      </c>
      <c r="C22" s="6" t="s">
        <v>112</v>
      </c>
      <c r="D22" s="6" t="s">
        <v>14</v>
      </c>
      <c r="E22" s="6" t="s">
        <v>16</v>
      </c>
      <c r="F22" s="45">
        <v>2403</v>
      </c>
      <c r="G22" s="6" t="s">
        <v>15</v>
      </c>
      <c r="H22" s="6"/>
      <c r="I22" s="65" t="s">
        <v>83</v>
      </c>
    </row>
    <row r="23" spans="1:14" ht="15.75" x14ac:dyDescent="0.25">
      <c r="A23" s="6" t="s">
        <v>33</v>
      </c>
      <c r="B23" s="5">
        <v>45301</v>
      </c>
      <c r="C23" s="6" t="s">
        <v>113</v>
      </c>
      <c r="D23" s="6" t="s">
        <v>114</v>
      </c>
      <c r="E23" s="6" t="s">
        <v>11</v>
      </c>
      <c r="F23" s="45">
        <v>258.62068965517244</v>
      </c>
      <c r="G23" s="6" t="s">
        <v>15</v>
      </c>
      <c r="H23" s="6"/>
      <c r="I23" s="65" t="s">
        <v>83</v>
      </c>
    </row>
    <row r="24" spans="1:14" ht="15.75" x14ac:dyDescent="0.25">
      <c r="A24" s="6" t="s">
        <v>33</v>
      </c>
      <c r="B24" s="5">
        <v>45301</v>
      </c>
      <c r="C24" s="6" t="s">
        <v>115</v>
      </c>
      <c r="D24" s="6" t="s">
        <v>116</v>
      </c>
      <c r="E24" s="6" t="s">
        <v>16</v>
      </c>
      <c r="F24" s="45">
        <v>2375</v>
      </c>
      <c r="G24" s="6" t="s">
        <v>15</v>
      </c>
      <c r="H24" s="6"/>
      <c r="I24" s="65" t="s">
        <v>83</v>
      </c>
    </row>
    <row r="25" spans="1:14" ht="15.75" x14ac:dyDescent="0.25">
      <c r="A25" s="6" t="s">
        <v>33</v>
      </c>
      <c r="B25" s="5">
        <v>45302</v>
      </c>
      <c r="C25" s="6" t="s">
        <v>117</v>
      </c>
      <c r="D25" s="6" t="s">
        <v>118</v>
      </c>
      <c r="E25" s="6" t="s">
        <v>16</v>
      </c>
      <c r="F25" s="45">
        <v>1950.0000000000002</v>
      </c>
      <c r="G25" s="6" t="s">
        <v>15</v>
      </c>
      <c r="H25" s="6"/>
      <c r="I25" s="65" t="s">
        <v>83</v>
      </c>
    </row>
    <row r="26" spans="1:14" ht="15.75" x14ac:dyDescent="0.25">
      <c r="A26" s="6" t="s">
        <v>33</v>
      </c>
      <c r="B26" s="5">
        <v>45303</v>
      </c>
      <c r="C26" s="6" t="s">
        <v>119</v>
      </c>
      <c r="D26" s="6" t="s">
        <v>120</v>
      </c>
      <c r="E26" s="6" t="s">
        <v>10</v>
      </c>
      <c r="F26" s="45">
        <v>172.41379310344828</v>
      </c>
      <c r="G26" s="6" t="s">
        <v>91</v>
      </c>
      <c r="H26" s="6"/>
      <c r="I26" s="65" t="s">
        <v>83</v>
      </c>
    </row>
    <row r="27" spans="1:14" ht="15.75" x14ac:dyDescent="0.25">
      <c r="A27" s="6" t="s">
        <v>33</v>
      </c>
      <c r="B27" s="5">
        <v>45303</v>
      </c>
      <c r="C27" s="6" t="s">
        <v>121</v>
      </c>
      <c r="D27" s="6" t="s">
        <v>14</v>
      </c>
      <c r="E27" s="6" t="s">
        <v>11</v>
      </c>
      <c r="F27" s="45">
        <v>258.62068965517244</v>
      </c>
      <c r="G27" s="6" t="s">
        <v>15</v>
      </c>
      <c r="H27" s="6"/>
      <c r="I27" s="65" t="s">
        <v>83</v>
      </c>
    </row>
    <row r="28" spans="1:14" ht="15.75" x14ac:dyDescent="0.25">
      <c r="A28" s="6" t="s">
        <v>33</v>
      </c>
      <c r="B28" s="5">
        <v>45303</v>
      </c>
      <c r="C28" s="6" t="s">
        <v>122</v>
      </c>
      <c r="D28" s="6" t="s">
        <v>123</v>
      </c>
      <c r="E28" s="6" t="s">
        <v>9</v>
      </c>
      <c r="F28" s="45">
        <v>418.10344827586209</v>
      </c>
      <c r="G28" s="6" t="s">
        <v>91</v>
      </c>
      <c r="H28" s="6"/>
      <c r="I28" s="65" t="s">
        <v>83</v>
      </c>
    </row>
    <row r="29" spans="1:14" ht="15.75" x14ac:dyDescent="0.25">
      <c r="A29" s="6" t="s">
        <v>33</v>
      </c>
      <c r="B29" s="5">
        <v>45303</v>
      </c>
      <c r="C29" s="6" t="s">
        <v>124</v>
      </c>
      <c r="D29" s="6" t="s">
        <v>14</v>
      </c>
      <c r="E29" s="6" t="s">
        <v>16</v>
      </c>
      <c r="F29" s="45">
        <v>3225</v>
      </c>
      <c r="G29" s="6" t="s">
        <v>15</v>
      </c>
      <c r="H29" s="6"/>
      <c r="I29" s="65" t="s">
        <v>83</v>
      </c>
    </row>
    <row r="30" spans="1:14" ht="15.75" x14ac:dyDescent="0.25">
      <c r="A30" s="6" t="s">
        <v>33</v>
      </c>
      <c r="B30" s="5">
        <v>45303</v>
      </c>
      <c r="C30" s="6" t="s">
        <v>125</v>
      </c>
      <c r="D30" s="6" t="s">
        <v>14</v>
      </c>
      <c r="E30" s="6" t="s">
        <v>18</v>
      </c>
      <c r="F30" s="45">
        <v>940.00000000000011</v>
      </c>
      <c r="G30" s="6" t="s">
        <v>15</v>
      </c>
      <c r="H30" s="6"/>
      <c r="I30" s="65" t="s">
        <v>83</v>
      </c>
    </row>
    <row r="31" spans="1:14" ht="15.75" x14ac:dyDescent="0.25">
      <c r="A31" s="6" t="s">
        <v>33</v>
      </c>
      <c r="B31" s="5">
        <v>45303</v>
      </c>
      <c r="C31" s="6" t="s">
        <v>126</v>
      </c>
      <c r="D31" s="6" t="s">
        <v>14</v>
      </c>
      <c r="E31" s="6" t="s">
        <v>20</v>
      </c>
      <c r="F31" s="45">
        <v>2793.1034482758623</v>
      </c>
      <c r="G31" s="6" t="s">
        <v>91</v>
      </c>
      <c r="H31" s="6" t="s">
        <v>44</v>
      </c>
      <c r="I31" s="65" t="s">
        <v>83</v>
      </c>
    </row>
    <row r="32" spans="1:14" ht="15.75" x14ac:dyDescent="0.25">
      <c r="A32" s="6" t="s">
        <v>33</v>
      </c>
      <c r="B32" s="5">
        <v>45303</v>
      </c>
      <c r="C32" s="6" t="s">
        <v>127</v>
      </c>
      <c r="D32" s="6" t="s">
        <v>14</v>
      </c>
      <c r="E32" s="6" t="s">
        <v>16</v>
      </c>
      <c r="F32" s="45">
        <v>2250</v>
      </c>
      <c r="G32" s="6" t="s">
        <v>15</v>
      </c>
      <c r="H32" s="6"/>
      <c r="I32" s="65" t="s">
        <v>83</v>
      </c>
    </row>
    <row r="33" spans="1:9" ht="15.75" x14ac:dyDescent="0.25">
      <c r="A33" s="6" t="s">
        <v>33</v>
      </c>
      <c r="B33" s="5"/>
      <c r="C33" s="6" t="s">
        <v>128</v>
      </c>
      <c r="D33" s="6" t="s">
        <v>30</v>
      </c>
      <c r="E33" s="6"/>
      <c r="F33" s="45">
        <v>0</v>
      </c>
      <c r="G33" s="6"/>
      <c r="H33" s="6"/>
      <c r="I33" s="65" t="s">
        <v>83</v>
      </c>
    </row>
    <row r="34" spans="1:9" ht="15.75" x14ac:dyDescent="0.25">
      <c r="A34" s="6" t="s">
        <v>33</v>
      </c>
      <c r="B34" s="5">
        <v>45307</v>
      </c>
      <c r="C34" s="6" t="s">
        <v>129</v>
      </c>
      <c r="D34" s="6" t="s">
        <v>14</v>
      </c>
      <c r="E34" s="6" t="s">
        <v>16</v>
      </c>
      <c r="F34" s="45">
        <v>4137.9310344827591</v>
      </c>
      <c r="G34" s="6" t="s">
        <v>15</v>
      </c>
      <c r="H34" s="6"/>
      <c r="I34" s="65" t="s">
        <v>83</v>
      </c>
    </row>
    <row r="35" spans="1:9" ht="15.75" x14ac:dyDescent="0.25">
      <c r="A35" s="6" t="s">
        <v>33</v>
      </c>
      <c r="B35" s="5">
        <v>45307</v>
      </c>
      <c r="C35" s="6" t="s">
        <v>130</v>
      </c>
      <c r="D35" s="6" t="s">
        <v>131</v>
      </c>
      <c r="E35" s="6" t="s">
        <v>16</v>
      </c>
      <c r="F35" s="45">
        <v>3394</v>
      </c>
      <c r="G35" s="6" t="s">
        <v>15</v>
      </c>
      <c r="H35" s="6"/>
      <c r="I35" s="65" t="s">
        <v>83</v>
      </c>
    </row>
    <row r="36" spans="1:9" ht="15.75" x14ac:dyDescent="0.25">
      <c r="A36" s="6" t="s">
        <v>33</v>
      </c>
      <c r="B36" s="5">
        <v>45307</v>
      </c>
      <c r="C36" s="6" t="s">
        <v>132</v>
      </c>
      <c r="D36" s="7" t="s">
        <v>88</v>
      </c>
      <c r="E36" s="6" t="s">
        <v>10</v>
      </c>
      <c r="F36" s="45">
        <v>910</v>
      </c>
      <c r="G36" s="7" t="s">
        <v>34</v>
      </c>
      <c r="H36" s="6"/>
      <c r="I36" s="65" t="s">
        <v>83</v>
      </c>
    </row>
    <row r="37" spans="1:9" ht="15.75" x14ac:dyDescent="0.25">
      <c r="A37" s="6" t="s">
        <v>33</v>
      </c>
      <c r="B37" s="5">
        <v>45308</v>
      </c>
      <c r="C37" s="6" t="s">
        <v>133</v>
      </c>
      <c r="D37" s="6" t="s">
        <v>38</v>
      </c>
      <c r="E37" s="6" t="s">
        <v>134</v>
      </c>
      <c r="F37" s="45">
        <v>11349.801724137933</v>
      </c>
      <c r="G37" s="6" t="s">
        <v>13</v>
      </c>
      <c r="H37" s="6"/>
      <c r="I37" s="65" t="s">
        <v>83</v>
      </c>
    </row>
    <row r="38" spans="1:9" ht="15.75" x14ac:dyDescent="0.25">
      <c r="A38" s="6" t="s">
        <v>33</v>
      </c>
      <c r="B38" s="5">
        <v>45308</v>
      </c>
      <c r="C38" s="6" t="s">
        <v>135</v>
      </c>
      <c r="D38" s="6" t="s">
        <v>88</v>
      </c>
      <c r="E38" s="6"/>
      <c r="F38" s="45">
        <v>0</v>
      </c>
      <c r="G38" s="6"/>
      <c r="H38" s="6"/>
      <c r="I38" s="65" t="s">
        <v>83</v>
      </c>
    </row>
    <row r="39" spans="1:9" ht="15.75" x14ac:dyDescent="0.25">
      <c r="A39" s="6" t="s">
        <v>33</v>
      </c>
      <c r="B39" s="5">
        <v>45308</v>
      </c>
      <c r="C39" s="6" t="s">
        <v>136</v>
      </c>
      <c r="D39" s="6" t="s">
        <v>137</v>
      </c>
      <c r="E39" s="6" t="s">
        <v>16</v>
      </c>
      <c r="F39" s="45">
        <v>2706</v>
      </c>
      <c r="G39" s="6" t="s">
        <v>15</v>
      </c>
      <c r="H39" s="6"/>
      <c r="I39" s="65" t="s">
        <v>83</v>
      </c>
    </row>
    <row r="40" spans="1:9" ht="15.75" x14ac:dyDescent="0.25">
      <c r="A40" s="6" t="s">
        <v>33</v>
      </c>
      <c r="B40" s="5">
        <v>45309</v>
      </c>
      <c r="C40" s="6" t="s">
        <v>138</v>
      </c>
      <c r="D40" s="6" t="s">
        <v>14</v>
      </c>
      <c r="E40" s="6" t="s">
        <v>10</v>
      </c>
      <c r="F40" s="45">
        <v>431.10344827586209</v>
      </c>
      <c r="G40" s="6" t="s">
        <v>15</v>
      </c>
      <c r="H40" s="6"/>
      <c r="I40" s="65" t="s">
        <v>83</v>
      </c>
    </row>
    <row r="41" spans="1:9" ht="15.75" x14ac:dyDescent="0.25">
      <c r="A41" s="6" t="s">
        <v>33</v>
      </c>
      <c r="B41" s="5">
        <v>45310</v>
      </c>
      <c r="C41" s="6" t="s">
        <v>139</v>
      </c>
      <c r="D41" s="6" t="s">
        <v>12</v>
      </c>
      <c r="E41" s="6" t="s">
        <v>23</v>
      </c>
      <c r="F41" s="45">
        <v>240000.00000000003</v>
      </c>
      <c r="G41" s="6" t="s">
        <v>13</v>
      </c>
      <c r="H41" s="6" t="s">
        <v>140</v>
      </c>
      <c r="I41" s="65" t="s">
        <v>83</v>
      </c>
    </row>
    <row r="42" spans="1:9" ht="15.75" x14ac:dyDescent="0.25">
      <c r="A42" s="6" t="s">
        <v>33</v>
      </c>
      <c r="B42" s="5">
        <v>45310</v>
      </c>
      <c r="C42" s="6" t="s">
        <v>141</v>
      </c>
      <c r="D42" s="6" t="s">
        <v>14</v>
      </c>
      <c r="E42" s="6" t="s">
        <v>10</v>
      </c>
      <c r="F42" s="45">
        <v>258.62068965517244</v>
      </c>
      <c r="G42" s="6" t="s">
        <v>91</v>
      </c>
      <c r="H42" s="6"/>
      <c r="I42" s="65" t="s">
        <v>83</v>
      </c>
    </row>
    <row r="43" spans="1:9" ht="15.75" x14ac:dyDescent="0.25">
      <c r="A43" s="6" t="s">
        <v>33</v>
      </c>
      <c r="B43" s="5">
        <v>45310</v>
      </c>
      <c r="C43" s="6" t="s">
        <v>142</v>
      </c>
      <c r="D43" s="6" t="s">
        <v>143</v>
      </c>
      <c r="E43" s="6" t="s">
        <v>10</v>
      </c>
      <c r="F43" s="45">
        <v>603.44827586206895</v>
      </c>
      <c r="G43" s="6" t="s">
        <v>15</v>
      </c>
      <c r="H43" s="6"/>
      <c r="I43" s="65" t="s">
        <v>83</v>
      </c>
    </row>
    <row r="44" spans="1:9" ht="15.75" x14ac:dyDescent="0.25">
      <c r="A44" s="6" t="s">
        <v>33</v>
      </c>
      <c r="B44" s="5">
        <v>45313</v>
      </c>
      <c r="C44" s="6" t="s">
        <v>144</v>
      </c>
      <c r="D44" s="6"/>
      <c r="E44" s="6"/>
      <c r="F44" s="45">
        <v>0</v>
      </c>
      <c r="G44" s="6"/>
      <c r="H44" s="6"/>
      <c r="I44" s="65" t="s">
        <v>83</v>
      </c>
    </row>
    <row r="45" spans="1:9" ht="15.75" x14ac:dyDescent="0.25">
      <c r="A45" s="6" t="s">
        <v>33</v>
      </c>
      <c r="B45" s="5">
        <v>45313</v>
      </c>
      <c r="C45" s="6" t="s">
        <v>145</v>
      </c>
      <c r="D45" s="6" t="s">
        <v>14</v>
      </c>
      <c r="E45" s="6" t="s">
        <v>10</v>
      </c>
      <c r="F45" s="45">
        <v>965.51724137931046</v>
      </c>
      <c r="G45" s="6" t="s">
        <v>15</v>
      </c>
      <c r="H45" s="6"/>
      <c r="I45" s="65" t="s">
        <v>83</v>
      </c>
    </row>
    <row r="46" spans="1:9" ht="15.75" x14ac:dyDescent="0.25">
      <c r="A46" s="6" t="s">
        <v>33</v>
      </c>
      <c r="B46" s="5">
        <v>45313</v>
      </c>
      <c r="C46" s="6" t="s">
        <v>146</v>
      </c>
      <c r="D46" s="6" t="s">
        <v>147</v>
      </c>
      <c r="E46" s="6" t="s">
        <v>10</v>
      </c>
      <c r="F46" s="45">
        <v>2974.1379310344828</v>
      </c>
      <c r="G46" s="6" t="s">
        <v>15</v>
      </c>
      <c r="H46" s="6"/>
      <c r="I46" s="65" t="s">
        <v>83</v>
      </c>
    </row>
    <row r="47" spans="1:9" ht="15.75" x14ac:dyDescent="0.25">
      <c r="A47" s="6" t="s">
        <v>33</v>
      </c>
      <c r="B47" s="5">
        <v>45314</v>
      </c>
      <c r="C47" s="6" t="s">
        <v>148</v>
      </c>
      <c r="D47" s="6" t="s">
        <v>149</v>
      </c>
      <c r="E47" s="6" t="s">
        <v>18</v>
      </c>
      <c r="F47" s="45">
        <v>580</v>
      </c>
      <c r="G47" s="6" t="s">
        <v>91</v>
      </c>
      <c r="H47" s="6"/>
      <c r="I47" s="65" t="s">
        <v>83</v>
      </c>
    </row>
    <row r="48" spans="1:9" ht="15.75" x14ac:dyDescent="0.25">
      <c r="A48" s="6" t="s">
        <v>33</v>
      </c>
      <c r="B48" s="5">
        <v>45314</v>
      </c>
      <c r="C48" s="6" t="s">
        <v>150</v>
      </c>
      <c r="D48" s="6" t="s">
        <v>151</v>
      </c>
      <c r="E48" s="6" t="s">
        <v>10</v>
      </c>
      <c r="F48" s="45">
        <v>3808</v>
      </c>
      <c r="G48" s="6" t="s">
        <v>91</v>
      </c>
      <c r="H48" s="6"/>
      <c r="I48" s="65" t="s">
        <v>83</v>
      </c>
    </row>
    <row r="49" spans="1:9" ht="15.75" x14ac:dyDescent="0.25">
      <c r="A49" s="6" t="s">
        <v>33</v>
      </c>
      <c r="B49" s="5">
        <v>45314</v>
      </c>
      <c r="C49" s="6" t="s">
        <v>152</v>
      </c>
      <c r="D49" s="6" t="s">
        <v>14</v>
      </c>
      <c r="E49" s="6" t="s">
        <v>10</v>
      </c>
      <c r="F49" s="45">
        <v>301.72413793103448</v>
      </c>
      <c r="G49" s="6" t="s">
        <v>91</v>
      </c>
      <c r="H49" s="6"/>
      <c r="I49" s="65" t="s">
        <v>83</v>
      </c>
    </row>
    <row r="50" spans="1:9" ht="15.75" x14ac:dyDescent="0.25">
      <c r="A50" s="6" t="s">
        <v>33</v>
      </c>
      <c r="B50" s="5">
        <v>45314</v>
      </c>
      <c r="C50" s="6" t="s">
        <v>153</v>
      </c>
      <c r="D50" s="6" t="s">
        <v>154</v>
      </c>
      <c r="E50" s="6" t="s">
        <v>10</v>
      </c>
      <c r="F50" s="45">
        <v>1465.5172413793105</v>
      </c>
      <c r="G50" s="6" t="s">
        <v>91</v>
      </c>
      <c r="H50" s="6"/>
      <c r="I50" s="65" t="s">
        <v>83</v>
      </c>
    </row>
    <row r="51" spans="1:9" ht="15.75" x14ac:dyDescent="0.25">
      <c r="A51" s="6" t="s">
        <v>33</v>
      </c>
      <c r="B51" s="5">
        <v>45315</v>
      </c>
      <c r="C51" s="6" t="s">
        <v>155</v>
      </c>
      <c r="D51" s="12" t="s">
        <v>156</v>
      </c>
      <c r="E51" s="6" t="s">
        <v>20</v>
      </c>
      <c r="F51" s="45">
        <v>7758.620689655173</v>
      </c>
      <c r="G51" s="6" t="s">
        <v>91</v>
      </c>
      <c r="H51" s="6" t="s">
        <v>43</v>
      </c>
      <c r="I51" s="65" t="s">
        <v>83</v>
      </c>
    </row>
    <row r="52" spans="1:9" ht="15.75" x14ac:dyDescent="0.25">
      <c r="A52" s="6" t="s">
        <v>33</v>
      </c>
      <c r="B52" s="5">
        <v>45315</v>
      </c>
      <c r="C52" s="6" t="s">
        <v>157</v>
      </c>
      <c r="D52" s="12" t="s">
        <v>158</v>
      </c>
      <c r="E52" s="6" t="s">
        <v>18</v>
      </c>
      <c r="F52" s="45">
        <v>1034.4827586206898</v>
      </c>
      <c r="G52" s="6" t="s">
        <v>15</v>
      </c>
      <c r="H52" s="6"/>
      <c r="I52" s="65" t="s">
        <v>83</v>
      </c>
    </row>
    <row r="53" spans="1:9" ht="15.75" x14ac:dyDescent="0.25">
      <c r="A53" s="6" t="s">
        <v>33</v>
      </c>
      <c r="B53" s="5">
        <v>45315</v>
      </c>
      <c r="C53" s="6" t="s">
        <v>159</v>
      </c>
      <c r="D53" s="13" t="s">
        <v>14</v>
      </c>
      <c r="E53" s="6" t="s">
        <v>16</v>
      </c>
      <c r="F53" s="45">
        <v>1918.0000000000002</v>
      </c>
      <c r="G53" s="6" t="s">
        <v>15</v>
      </c>
      <c r="H53" s="6"/>
      <c r="I53" s="65" t="s">
        <v>83</v>
      </c>
    </row>
    <row r="54" spans="1:9" ht="15.75" x14ac:dyDescent="0.25">
      <c r="A54" s="6" t="s">
        <v>33</v>
      </c>
      <c r="B54" s="5">
        <v>45316</v>
      </c>
      <c r="C54" s="6" t="s">
        <v>160</v>
      </c>
      <c r="D54" s="13" t="s">
        <v>14</v>
      </c>
      <c r="E54" s="6" t="s">
        <v>18</v>
      </c>
      <c r="F54" s="45">
        <v>301.72413793103448</v>
      </c>
      <c r="G54" s="6" t="s">
        <v>15</v>
      </c>
      <c r="H54" s="6"/>
      <c r="I54" s="65" t="s">
        <v>83</v>
      </c>
    </row>
    <row r="55" spans="1:9" x14ac:dyDescent="0.25">
      <c r="A55" s="6" t="s">
        <v>33</v>
      </c>
      <c r="B55" s="5">
        <v>45316</v>
      </c>
      <c r="C55" s="6" t="s">
        <v>161</v>
      </c>
      <c r="D55" s="13" t="s">
        <v>162</v>
      </c>
      <c r="E55" s="6" t="s">
        <v>18</v>
      </c>
      <c r="F55" s="45">
        <v>586.20689655172418</v>
      </c>
      <c r="G55" s="6" t="s">
        <v>15</v>
      </c>
      <c r="H55" s="6"/>
      <c r="I55" s="16" t="s">
        <v>83</v>
      </c>
    </row>
    <row r="56" spans="1:9" x14ac:dyDescent="0.25">
      <c r="A56" s="6" t="s">
        <v>33</v>
      </c>
      <c r="B56" s="5">
        <v>45318</v>
      </c>
      <c r="C56" s="6" t="s">
        <v>163</v>
      </c>
      <c r="D56" s="13" t="s">
        <v>14</v>
      </c>
      <c r="E56" s="6" t="s">
        <v>16</v>
      </c>
      <c r="F56" s="45">
        <v>1782</v>
      </c>
      <c r="G56" s="6" t="s">
        <v>15</v>
      </c>
      <c r="H56" s="6"/>
      <c r="I56" s="16" t="s">
        <v>83</v>
      </c>
    </row>
    <row r="57" spans="1:9" x14ac:dyDescent="0.25">
      <c r="A57" s="6" t="s">
        <v>33</v>
      </c>
      <c r="B57" s="5">
        <v>45320</v>
      </c>
      <c r="C57" s="6" t="s">
        <v>164</v>
      </c>
      <c r="D57" s="6" t="s">
        <v>165</v>
      </c>
      <c r="E57" s="6" t="s">
        <v>10</v>
      </c>
      <c r="F57" s="45">
        <v>258.62068965517244</v>
      </c>
      <c r="G57" s="6" t="s">
        <v>91</v>
      </c>
      <c r="H57" s="6"/>
      <c r="I57" s="16" t="s">
        <v>83</v>
      </c>
    </row>
    <row r="58" spans="1:9" x14ac:dyDescent="0.25">
      <c r="A58" s="6" t="s">
        <v>33</v>
      </c>
      <c r="B58" s="5">
        <v>45321</v>
      </c>
      <c r="C58" s="6" t="s">
        <v>166</v>
      </c>
      <c r="D58" s="6" t="s">
        <v>167</v>
      </c>
      <c r="E58" s="6" t="s">
        <v>16</v>
      </c>
      <c r="F58" s="45">
        <v>2435</v>
      </c>
      <c r="G58" s="6" t="s">
        <v>15</v>
      </c>
      <c r="H58" s="6"/>
      <c r="I58" s="16" t="s">
        <v>83</v>
      </c>
    </row>
    <row r="59" spans="1:9" x14ac:dyDescent="0.25">
      <c r="A59" s="6" t="s">
        <v>33</v>
      </c>
      <c r="B59" s="5">
        <v>45321</v>
      </c>
      <c r="C59" s="6" t="s">
        <v>168</v>
      </c>
      <c r="D59" s="6" t="s">
        <v>88</v>
      </c>
      <c r="E59" s="6"/>
      <c r="F59" s="45">
        <v>0</v>
      </c>
      <c r="G59" s="6"/>
      <c r="H59" s="6"/>
      <c r="I59" s="16" t="s">
        <v>83</v>
      </c>
    </row>
    <row r="60" spans="1:9" x14ac:dyDescent="0.25">
      <c r="A60" s="6" t="s">
        <v>33</v>
      </c>
      <c r="B60" s="5">
        <v>45321</v>
      </c>
      <c r="C60" s="6" t="s">
        <v>169</v>
      </c>
      <c r="D60" s="6" t="s">
        <v>14</v>
      </c>
      <c r="E60" s="6" t="s">
        <v>10</v>
      </c>
      <c r="F60" s="45">
        <v>862.06896551724139</v>
      </c>
      <c r="G60" s="6" t="s">
        <v>91</v>
      </c>
      <c r="H60" s="6"/>
      <c r="I60" s="16" t="s">
        <v>83</v>
      </c>
    </row>
    <row r="61" spans="1:9" x14ac:dyDescent="0.25">
      <c r="A61" s="6" t="s">
        <v>33</v>
      </c>
      <c r="B61" s="5">
        <v>45321</v>
      </c>
      <c r="C61" s="6" t="s">
        <v>170</v>
      </c>
      <c r="D61" s="6" t="s">
        <v>14</v>
      </c>
      <c r="E61" s="6" t="s">
        <v>10</v>
      </c>
      <c r="F61" s="45">
        <v>43.103448275862071</v>
      </c>
      <c r="G61" s="6" t="s">
        <v>91</v>
      </c>
      <c r="H61" s="6"/>
      <c r="I61" s="16" t="s">
        <v>83</v>
      </c>
    </row>
    <row r="62" spans="1:9" x14ac:dyDescent="0.25">
      <c r="A62" s="6" t="s">
        <v>33</v>
      </c>
      <c r="B62" s="5">
        <v>45322</v>
      </c>
      <c r="C62" s="6" t="s">
        <v>171</v>
      </c>
      <c r="D62" s="6" t="s">
        <v>14</v>
      </c>
      <c r="E62" s="6" t="s">
        <v>16</v>
      </c>
      <c r="F62" s="45">
        <v>1582</v>
      </c>
      <c r="G62" s="6" t="s">
        <v>15</v>
      </c>
      <c r="H62" s="6"/>
      <c r="I62" s="16" t="s">
        <v>83</v>
      </c>
    </row>
    <row r="63" spans="1:9" x14ac:dyDescent="0.25">
      <c r="A63" s="6" t="s">
        <v>33</v>
      </c>
      <c r="B63" s="5">
        <v>45322</v>
      </c>
      <c r="C63" s="6" t="s">
        <v>172</v>
      </c>
      <c r="D63" s="6" t="s">
        <v>26</v>
      </c>
      <c r="E63" s="6" t="s">
        <v>10</v>
      </c>
      <c r="F63" s="45">
        <v>1856.0000000000002</v>
      </c>
      <c r="G63" s="6" t="s">
        <v>13</v>
      </c>
      <c r="H63" s="6"/>
      <c r="I63" s="16" t="s">
        <v>83</v>
      </c>
    </row>
    <row r="64" spans="1:9" x14ac:dyDescent="0.25">
      <c r="A64" s="6" t="s">
        <v>33</v>
      </c>
      <c r="B64" s="5">
        <v>45322</v>
      </c>
      <c r="C64" s="6" t="s">
        <v>173</v>
      </c>
      <c r="D64" s="6" t="s">
        <v>14</v>
      </c>
      <c r="E64" s="6" t="s">
        <v>10</v>
      </c>
      <c r="F64" s="45">
        <v>301.72413793103448</v>
      </c>
      <c r="G64" s="6" t="s">
        <v>91</v>
      </c>
      <c r="H64" s="6"/>
      <c r="I64" s="16" t="s">
        <v>83</v>
      </c>
    </row>
    <row r="65" spans="1:10" x14ac:dyDescent="0.25">
      <c r="A65" s="20" t="s">
        <v>33</v>
      </c>
      <c r="B65" s="19">
        <v>45322</v>
      </c>
      <c r="C65" s="20" t="s">
        <v>174</v>
      </c>
      <c r="D65" s="20" t="s">
        <v>35</v>
      </c>
      <c r="E65" s="20" t="s">
        <v>18</v>
      </c>
      <c r="F65" s="47">
        <v>65164.137931034486</v>
      </c>
      <c r="G65" s="20" t="s">
        <v>13</v>
      </c>
      <c r="H65" s="20"/>
      <c r="I65" s="66" t="s">
        <v>83</v>
      </c>
      <c r="J65" s="8" t="s">
        <v>2036</v>
      </c>
    </row>
    <row r="66" spans="1:10" x14ac:dyDescent="0.25">
      <c r="A66" s="6" t="s">
        <v>33</v>
      </c>
      <c r="B66" s="5">
        <v>45323</v>
      </c>
      <c r="C66" s="6" t="s">
        <v>175</v>
      </c>
      <c r="D66" s="6" t="s">
        <v>14</v>
      </c>
      <c r="E66" s="6" t="s">
        <v>16</v>
      </c>
      <c r="F66" s="45">
        <v>1715.6034482758621</v>
      </c>
      <c r="G66" s="6" t="s">
        <v>15</v>
      </c>
      <c r="H66" s="6"/>
      <c r="I66" s="16" t="s">
        <v>83</v>
      </c>
    </row>
    <row r="67" spans="1:10" x14ac:dyDescent="0.25">
      <c r="A67" s="6" t="s">
        <v>33</v>
      </c>
      <c r="B67" s="5">
        <v>45328</v>
      </c>
      <c r="C67" s="6" t="s">
        <v>176</v>
      </c>
      <c r="D67" s="6" t="s">
        <v>123</v>
      </c>
      <c r="E67" s="6" t="s">
        <v>23</v>
      </c>
      <c r="F67" s="45">
        <v>43000</v>
      </c>
      <c r="G67" s="6" t="s">
        <v>177</v>
      </c>
      <c r="H67" s="6" t="s">
        <v>178</v>
      </c>
      <c r="I67" s="16" t="s">
        <v>83</v>
      </c>
    </row>
    <row r="68" spans="1:10" x14ac:dyDescent="0.25">
      <c r="A68" s="6" t="s">
        <v>33</v>
      </c>
      <c r="B68" s="5">
        <v>45328</v>
      </c>
      <c r="C68" s="6" t="s">
        <v>179</v>
      </c>
      <c r="D68" s="6" t="s">
        <v>180</v>
      </c>
      <c r="E68" s="6" t="s">
        <v>23</v>
      </c>
      <c r="F68" s="45">
        <v>18500</v>
      </c>
      <c r="G68" s="6" t="s">
        <v>177</v>
      </c>
      <c r="H68" s="6" t="s">
        <v>51</v>
      </c>
      <c r="I68" s="16" t="s">
        <v>83</v>
      </c>
    </row>
    <row r="69" spans="1:10" x14ac:dyDescent="0.25">
      <c r="A69" s="6" t="s">
        <v>33</v>
      </c>
      <c r="B69" s="5"/>
      <c r="C69" s="6" t="s">
        <v>181</v>
      </c>
      <c r="D69" s="6" t="s">
        <v>30</v>
      </c>
      <c r="E69" s="6"/>
      <c r="F69" s="45">
        <v>0</v>
      </c>
      <c r="G69" s="6"/>
      <c r="H69" s="6"/>
      <c r="I69" s="16" t="s">
        <v>83</v>
      </c>
    </row>
    <row r="70" spans="1:10" x14ac:dyDescent="0.25">
      <c r="A70" s="6" t="s">
        <v>33</v>
      </c>
      <c r="B70" s="5">
        <v>45334</v>
      </c>
      <c r="C70" s="6" t="s">
        <v>182</v>
      </c>
      <c r="D70" s="6" t="s">
        <v>183</v>
      </c>
      <c r="E70" s="6" t="s">
        <v>16</v>
      </c>
      <c r="F70" s="45">
        <v>4792.3965517241386</v>
      </c>
      <c r="G70" s="6" t="s">
        <v>15</v>
      </c>
      <c r="H70" s="6"/>
      <c r="I70" s="16" t="s">
        <v>83</v>
      </c>
    </row>
    <row r="71" spans="1:10" x14ac:dyDescent="0.25">
      <c r="A71" s="6" t="s">
        <v>33</v>
      </c>
      <c r="B71" s="5">
        <v>45334</v>
      </c>
      <c r="C71" s="6" t="s">
        <v>184</v>
      </c>
      <c r="D71" s="6" t="s">
        <v>185</v>
      </c>
      <c r="E71" s="6" t="s">
        <v>20</v>
      </c>
      <c r="F71" s="45">
        <v>7629.310344827587</v>
      </c>
      <c r="G71" s="6" t="s">
        <v>177</v>
      </c>
      <c r="H71" s="6" t="s">
        <v>43</v>
      </c>
      <c r="I71" s="16" t="s">
        <v>83</v>
      </c>
    </row>
    <row r="72" spans="1:10" x14ac:dyDescent="0.25">
      <c r="A72" s="6" t="s">
        <v>33</v>
      </c>
      <c r="B72" s="5">
        <v>45334</v>
      </c>
      <c r="C72" s="6" t="s">
        <v>186</v>
      </c>
      <c r="D72" s="6" t="s">
        <v>187</v>
      </c>
      <c r="E72" s="6" t="s">
        <v>10</v>
      </c>
      <c r="F72" s="45">
        <v>1465.5172413793105</v>
      </c>
      <c r="G72" s="6" t="s">
        <v>8</v>
      </c>
      <c r="H72" s="6"/>
      <c r="I72" s="16" t="s">
        <v>83</v>
      </c>
    </row>
    <row r="73" spans="1:10" x14ac:dyDescent="0.25">
      <c r="A73" s="6" t="s">
        <v>33</v>
      </c>
      <c r="B73" s="5">
        <v>45334</v>
      </c>
      <c r="C73" s="6" t="s">
        <v>188</v>
      </c>
      <c r="D73" s="6" t="s">
        <v>189</v>
      </c>
      <c r="E73" s="6" t="s">
        <v>10</v>
      </c>
      <c r="F73" s="45">
        <v>387.93103448275866</v>
      </c>
      <c r="G73" s="6" t="s">
        <v>15</v>
      </c>
      <c r="H73" s="6"/>
      <c r="I73" s="16" t="s">
        <v>83</v>
      </c>
    </row>
    <row r="74" spans="1:10" x14ac:dyDescent="0.25">
      <c r="A74" s="6" t="s">
        <v>33</v>
      </c>
      <c r="B74" s="5">
        <v>45334</v>
      </c>
      <c r="C74" s="6" t="s">
        <v>190</v>
      </c>
      <c r="D74" s="6" t="s">
        <v>191</v>
      </c>
      <c r="E74" s="6" t="s">
        <v>10</v>
      </c>
      <c r="F74" s="45">
        <v>1939.6637931034486</v>
      </c>
      <c r="G74" s="6" t="s">
        <v>8</v>
      </c>
      <c r="H74" s="6"/>
      <c r="I74" s="16" t="s">
        <v>83</v>
      </c>
    </row>
    <row r="75" spans="1:10" x14ac:dyDescent="0.25">
      <c r="A75" s="6" t="s">
        <v>33</v>
      </c>
      <c r="B75" s="5">
        <v>45334</v>
      </c>
      <c r="C75" s="6" t="s">
        <v>192</v>
      </c>
      <c r="D75" s="6" t="s">
        <v>14</v>
      </c>
      <c r="E75" s="6" t="s">
        <v>16</v>
      </c>
      <c r="F75" s="45">
        <v>1515.0000000000002</v>
      </c>
      <c r="G75" s="6" t="s">
        <v>15</v>
      </c>
      <c r="H75" s="6"/>
      <c r="I75" s="16" t="s">
        <v>83</v>
      </c>
    </row>
    <row r="76" spans="1:10" x14ac:dyDescent="0.25">
      <c r="A76" s="6" t="s">
        <v>33</v>
      </c>
      <c r="B76" s="5">
        <v>45335</v>
      </c>
      <c r="C76" s="6" t="s">
        <v>193</v>
      </c>
      <c r="D76" s="6" t="s">
        <v>194</v>
      </c>
      <c r="E76" s="6" t="s">
        <v>16</v>
      </c>
      <c r="F76" s="45">
        <v>2262</v>
      </c>
      <c r="G76" s="6" t="s">
        <v>15</v>
      </c>
      <c r="H76" s="6"/>
      <c r="I76" s="16" t="s">
        <v>83</v>
      </c>
    </row>
    <row r="77" spans="1:10" x14ac:dyDescent="0.25">
      <c r="A77" s="6" t="s">
        <v>33</v>
      </c>
      <c r="B77" s="5">
        <v>45335</v>
      </c>
      <c r="C77" s="6" t="s">
        <v>195</v>
      </c>
      <c r="D77" s="6" t="s">
        <v>22</v>
      </c>
      <c r="E77" s="6" t="s">
        <v>10</v>
      </c>
      <c r="F77" s="45">
        <v>132.75862068965517</v>
      </c>
      <c r="G77" s="6" t="s">
        <v>34</v>
      </c>
      <c r="H77" s="6"/>
      <c r="I77" s="16" t="s">
        <v>83</v>
      </c>
    </row>
    <row r="78" spans="1:10" x14ac:dyDescent="0.25">
      <c r="A78" s="6" t="s">
        <v>33</v>
      </c>
      <c r="B78" s="5">
        <v>45335</v>
      </c>
      <c r="C78" s="6" t="s">
        <v>196</v>
      </c>
      <c r="D78" s="6" t="s">
        <v>88</v>
      </c>
      <c r="E78" s="6" t="s">
        <v>18</v>
      </c>
      <c r="F78" s="45">
        <v>10102.603448275862</v>
      </c>
      <c r="G78" s="6" t="s">
        <v>34</v>
      </c>
      <c r="H78" s="6"/>
      <c r="I78" s="16" t="s">
        <v>83</v>
      </c>
    </row>
    <row r="79" spans="1:10" x14ac:dyDescent="0.25">
      <c r="A79" s="6" t="s">
        <v>33</v>
      </c>
      <c r="B79" s="5">
        <v>45335</v>
      </c>
      <c r="C79" s="6" t="s">
        <v>197</v>
      </c>
      <c r="D79" s="6" t="s">
        <v>88</v>
      </c>
      <c r="E79" s="6" t="s">
        <v>18</v>
      </c>
      <c r="F79" s="45">
        <v>6336.0000000000009</v>
      </c>
      <c r="G79" s="6" t="s">
        <v>34</v>
      </c>
      <c r="H79" s="6"/>
      <c r="I79" s="16" t="s">
        <v>83</v>
      </c>
    </row>
    <row r="80" spans="1:10" x14ac:dyDescent="0.25">
      <c r="A80" s="6" t="s">
        <v>33</v>
      </c>
      <c r="B80" s="5">
        <v>45335</v>
      </c>
      <c r="C80" s="6" t="s">
        <v>198</v>
      </c>
      <c r="D80" s="7" t="s">
        <v>88</v>
      </c>
      <c r="E80" s="6" t="s">
        <v>18</v>
      </c>
      <c r="F80" s="45">
        <v>3582</v>
      </c>
      <c r="G80" s="7" t="s">
        <v>34</v>
      </c>
      <c r="H80" s="6"/>
      <c r="I80" s="16" t="s">
        <v>83</v>
      </c>
    </row>
    <row r="81" spans="1:10" s="57" customFormat="1" x14ac:dyDescent="0.25">
      <c r="A81" s="60" t="s">
        <v>33</v>
      </c>
      <c r="B81" s="59">
        <v>45336</v>
      </c>
      <c r="C81" s="60" t="s">
        <v>199</v>
      </c>
      <c r="D81" s="60" t="s">
        <v>22</v>
      </c>
      <c r="E81" s="60" t="s">
        <v>23</v>
      </c>
      <c r="F81" s="61">
        <v>24000</v>
      </c>
      <c r="G81" s="60" t="s">
        <v>13</v>
      </c>
      <c r="H81" s="60" t="s">
        <v>200</v>
      </c>
      <c r="I81" s="67" t="s">
        <v>83</v>
      </c>
      <c r="J81" s="57" t="s">
        <v>2037</v>
      </c>
    </row>
    <row r="82" spans="1:10" x14ac:dyDescent="0.25">
      <c r="A82" s="6" t="s">
        <v>33</v>
      </c>
      <c r="B82" s="5">
        <v>45336</v>
      </c>
      <c r="C82" s="6" t="s">
        <v>201</v>
      </c>
      <c r="D82" s="6" t="s">
        <v>88</v>
      </c>
      <c r="E82" s="6" t="s">
        <v>18</v>
      </c>
      <c r="F82" s="45">
        <v>4870.8017241379312</v>
      </c>
      <c r="G82" s="6" t="s">
        <v>34</v>
      </c>
      <c r="H82" s="6"/>
      <c r="I82" s="16" t="s">
        <v>83</v>
      </c>
    </row>
    <row r="83" spans="1:10" x14ac:dyDescent="0.25">
      <c r="A83" s="6" t="s">
        <v>33</v>
      </c>
      <c r="B83" s="5">
        <v>45336</v>
      </c>
      <c r="C83" s="6" t="s">
        <v>202</v>
      </c>
      <c r="D83" s="6" t="s">
        <v>14</v>
      </c>
      <c r="E83" s="6" t="s">
        <v>11</v>
      </c>
      <c r="F83" s="45">
        <v>215.51724137931035</v>
      </c>
      <c r="G83" s="6" t="s">
        <v>15</v>
      </c>
      <c r="H83" s="6"/>
      <c r="I83" s="16" t="s">
        <v>83</v>
      </c>
    </row>
    <row r="84" spans="1:10" x14ac:dyDescent="0.25">
      <c r="A84" s="6" t="s">
        <v>33</v>
      </c>
      <c r="B84" s="5">
        <v>45336</v>
      </c>
      <c r="C84" s="6" t="s">
        <v>203</v>
      </c>
      <c r="D84" s="6" t="s">
        <v>204</v>
      </c>
      <c r="E84" s="6" t="s">
        <v>27</v>
      </c>
      <c r="F84" s="45">
        <v>5130.0000000000009</v>
      </c>
      <c r="G84" s="6" t="s">
        <v>177</v>
      </c>
      <c r="H84" s="6"/>
      <c r="I84" s="16" t="s">
        <v>83</v>
      </c>
    </row>
    <row r="85" spans="1:10" x14ac:dyDescent="0.25">
      <c r="A85" s="6" t="s">
        <v>33</v>
      </c>
      <c r="B85" s="5">
        <v>45336</v>
      </c>
      <c r="C85" s="6" t="s">
        <v>205</v>
      </c>
      <c r="D85" s="6" t="s">
        <v>206</v>
      </c>
      <c r="E85" s="6" t="s">
        <v>10</v>
      </c>
      <c r="F85" s="45">
        <v>1465.5172413793105</v>
      </c>
      <c r="G85" s="6" t="s">
        <v>8</v>
      </c>
      <c r="H85" s="6"/>
      <c r="I85" s="16" t="s">
        <v>83</v>
      </c>
    </row>
    <row r="86" spans="1:10" x14ac:dyDescent="0.25">
      <c r="A86" s="6" t="s">
        <v>33</v>
      </c>
      <c r="B86" s="5">
        <v>45336</v>
      </c>
      <c r="C86" s="6" t="s">
        <v>207</v>
      </c>
      <c r="D86" s="6" t="s">
        <v>14</v>
      </c>
      <c r="E86" s="6" t="s">
        <v>16</v>
      </c>
      <c r="F86" s="45">
        <v>1445.0000000000002</v>
      </c>
      <c r="G86" s="6" t="s">
        <v>15</v>
      </c>
      <c r="H86" s="6"/>
      <c r="I86" s="16" t="s">
        <v>83</v>
      </c>
    </row>
    <row r="87" spans="1:10" x14ac:dyDescent="0.25">
      <c r="A87" s="6" t="s">
        <v>33</v>
      </c>
      <c r="B87" s="5">
        <v>45336</v>
      </c>
      <c r="C87" s="6" t="s">
        <v>208</v>
      </c>
      <c r="D87" s="6" t="s">
        <v>14</v>
      </c>
      <c r="E87" s="6" t="s">
        <v>16</v>
      </c>
      <c r="F87" s="45">
        <v>744</v>
      </c>
      <c r="G87" s="6" t="s">
        <v>15</v>
      </c>
      <c r="H87" s="6"/>
      <c r="I87" s="16" t="s">
        <v>83</v>
      </c>
    </row>
    <row r="88" spans="1:10" x14ac:dyDescent="0.25">
      <c r="A88" s="6" t="s">
        <v>33</v>
      </c>
      <c r="B88" s="5">
        <v>45336</v>
      </c>
      <c r="C88" s="6" t="s">
        <v>209</v>
      </c>
      <c r="D88" s="6" t="s">
        <v>14</v>
      </c>
      <c r="E88" s="6" t="s">
        <v>16</v>
      </c>
      <c r="F88" s="45">
        <v>1589.0000000000002</v>
      </c>
      <c r="G88" s="6" t="s">
        <v>15</v>
      </c>
      <c r="H88" s="6"/>
      <c r="I88" s="16" t="s">
        <v>83</v>
      </c>
    </row>
    <row r="89" spans="1:10" x14ac:dyDescent="0.25">
      <c r="A89" s="6" t="s">
        <v>33</v>
      </c>
      <c r="B89" s="5">
        <v>45337</v>
      </c>
      <c r="C89" s="6" t="s">
        <v>210</v>
      </c>
      <c r="D89" s="6" t="s">
        <v>14</v>
      </c>
      <c r="E89" s="6" t="s">
        <v>20</v>
      </c>
      <c r="F89" s="45">
        <v>7758.620689655173</v>
      </c>
      <c r="G89" s="6" t="s">
        <v>8</v>
      </c>
      <c r="H89" s="6" t="s">
        <v>43</v>
      </c>
      <c r="I89" s="16" t="s">
        <v>83</v>
      </c>
    </row>
    <row r="90" spans="1:10" x14ac:dyDescent="0.25">
      <c r="A90" s="6" t="s">
        <v>33</v>
      </c>
      <c r="B90" s="5">
        <v>45337</v>
      </c>
      <c r="C90" s="6" t="s">
        <v>211</v>
      </c>
      <c r="D90" s="6" t="s">
        <v>14</v>
      </c>
      <c r="E90" s="6" t="s">
        <v>16</v>
      </c>
      <c r="F90" s="45">
        <v>1243.0000000000002</v>
      </c>
      <c r="G90" s="6" t="s">
        <v>15</v>
      </c>
      <c r="H90" s="6"/>
      <c r="I90" s="16" t="s">
        <v>83</v>
      </c>
    </row>
    <row r="91" spans="1:10" x14ac:dyDescent="0.25">
      <c r="A91" s="6" t="s">
        <v>33</v>
      </c>
      <c r="B91" s="5">
        <v>45337</v>
      </c>
      <c r="C91" s="6" t="s">
        <v>212</v>
      </c>
      <c r="D91" s="6" t="s">
        <v>14</v>
      </c>
      <c r="E91" s="6" t="s">
        <v>18</v>
      </c>
      <c r="F91" s="45">
        <v>413.79310344827587</v>
      </c>
      <c r="G91" s="6" t="s">
        <v>15</v>
      </c>
      <c r="H91" s="6"/>
      <c r="I91" s="16" t="s">
        <v>83</v>
      </c>
    </row>
    <row r="92" spans="1:10" x14ac:dyDescent="0.25">
      <c r="A92" s="6" t="s">
        <v>33</v>
      </c>
      <c r="B92" s="5">
        <v>45337</v>
      </c>
      <c r="C92" s="6" t="s">
        <v>213</v>
      </c>
      <c r="D92" s="6" t="s">
        <v>14</v>
      </c>
      <c r="E92" s="6" t="s">
        <v>16</v>
      </c>
      <c r="F92" s="45">
        <v>1742.0000000000002</v>
      </c>
      <c r="G92" s="6" t="s">
        <v>15</v>
      </c>
      <c r="H92" s="6"/>
      <c r="I92" s="16" t="s">
        <v>83</v>
      </c>
    </row>
    <row r="93" spans="1:10" x14ac:dyDescent="0.25">
      <c r="A93" s="6" t="s">
        <v>33</v>
      </c>
      <c r="B93" s="5">
        <v>45338</v>
      </c>
      <c r="C93" s="6" t="s">
        <v>214</v>
      </c>
      <c r="D93" s="6" t="s">
        <v>215</v>
      </c>
      <c r="E93" s="6" t="s">
        <v>16</v>
      </c>
      <c r="F93" s="45">
        <v>1975.0000000000002</v>
      </c>
      <c r="G93" s="6" t="s">
        <v>15</v>
      </c>
      <c r="H93" s="6"/>
      <c r="I93" s="16" t="s">
        <v>83</v>
      </c>
    </row>
    <row r="94" spans="1:10" x14ac:dyDescent="0.25">
      <c r="A94" s="6" t="s">
        <v>33</v>
      </c>
      <c r="B94" s="5">
        <v>45338</v>
      </c>
      <c r="C94" s="6" t="s">
        <v>216</v>
      </c>
      <c r="D94" s="6" t="s">
        <v>215</v>
      </c>
      <c r="E94" s="6" t="s">
        <v>27</v>
      </c>
      <c r="F94" s="45">
        <v>258.62068965517244</v>
      </c>
      <c r="G94" s="6" t="s">
        <v>15</v>
      </c>
      <c r="H94" s="6"/>
      <c r="I94" s="16" t="s">
        <v>83</v>
      </c>
    </row>
    <row r="95" spans="1:10" x14ac:dyDescent="0.25">
      <c r="A95" s="6" t="s">
        <v>33</v>
      </c>
      <c r="B95" s="5">
        <v>45338</v>
      </c>
      <c r="C95" s="6" t="s">
        <v>217</v>
      </c>
      <c r="D95" s="6" t="s">
        <v>14</v>
      </c>
      <c r="E95" s="6" t="s">
        <v>18</v>
      </c>
      <c r="F95" s="45">
        <v>819</v>
      </c>
      <c r="G95" s="6" t="s">
        <v>15</v>
      </c>
      <c r="H95" s="6"/>
      <c r="I95" s="16" t="s">
        <v>83</v>
      </c>
    </row>
    <row r="96" spans="1:10" x14ac:dyDescent="0.25">
      <c r="A96" s="6" t="s">
        <v>33</v>
      </c>
      <c r="B96" s="5">
        <v>45338</v>
      </c>
      <c r="C96" s="6" t="s">
        <v>218</v>
      </c>
      <c r="D96" s="6" t="s">
        <v>215</v>
      </c>
      <c r="E96" s="6" t="s">
        <v>18</v>
      </c>
      <c r="F96" s="45">
        <v>41.379310344827587</v>
      </c>
      <c r="G96" s="6" t="s">
        <v>15</v>
      </c>
      <c r="H96" s="6"/>
      <c r="I96" s="16" t="s">
        <v>83</v>
      </c>
    </row>
    <row r="97" spans="1:9" x14ac:dyDescent="0.25">
      <c r="A97" s="6" t="s">
        <v>33</v>
      </c>
      <c r="B97" s="5">
        <v>45338</v>
      </c>
      <c r="C97" s="6" t="s">
        <v>219</v>
      </c>
      <c r="D97" s="6" t="s">
        <v>14</v>
      </c>
      <c r="E97" s="6" t="s">
        <v>16</v>
      </c>
      <c r="F97" s="45">
        <v>874.62068965517244</v>
      </c>
      <c r="G97" s="6" t="s">
        <v>15</v>
      </c>
      <c r="H97" s="6"/>
      <c r="I97" s="16" t="s">
        <v>83</v>
      </c>
    </row>
    <row r="98" spans="1:9" x14ac:dyDescent="0.25">
      <c r="A98" s="6" t="s">
        <v>33</v>
      </c>
      <c r="B98" s="5">
        <v>45338</v>
      </c>
      <c r="C98" s="6" t="s">
        <v>220</v>
      </c>
      <c r="D98" s="6" t="s">
        <v>14</v>
      </c>
      <c r="E98" s="6" t="s">
        <v>16</v>
      </c>
      <c r="F98" s="45">
        <v>1095.0000000000002</v>
      </c>
      <c r="G98" s="6" t="s">
        <v>15</v>
      </c>
      <c r="H98" s="6"/>
      <c r="I98" s="16" t="s">
        <v>83</v>
      </c>
    </row>
    <row r="99" spans="1:9" x14ac:dyDescent="0.25">
      <c r="A99" s="6" t="s">
        <v>33</v>
      </c>
      <c r="B99" s="5">
        <v>45338</v>
      </c>
      <c r="C99" s="6" t="s">
        <v>221</v>
      </c>
      <c r="D99" s="6" t="s">
        <v>14</v>
      </c>
      <c r="E99" s="6" t="s">
        <v>18</v>
      </c>
      <c r="F99" s="45">
        <v>258.62068965517244</v>
      </c>
      <c r="G99" s="6" t="s">
        <v>15</v>
      </c>
      <c r="H99" s="6"/>
      <c r="I99" s="16" t="s">
        <v>83</v>
      </c>
    </row>
    <row r="100" spans="1:9" x14ac:dyDescent="0.25">
      <c r="A100" s="6" t="s">
        <v>33</v>
      </c>
      <c r="B100" s="5">
        <v>45338</v>
      </c>
      <c r="C100" s="6" t="s">
        <v>222</v>
      </c>
      <c r="D100" s="6" t="s">
        <v>14</v>
      </c>
      <c r="E100" s="6" t="s">
        <v>10</v>
      </c>
      <c r="F100" s="45">
        <v>724.13793103448279</v>
      </c>
      <c r="G100" s="6" t="s">
        <v>15</v>
      </c>
      <c r="H100" s="6"/>
      <c r="I100" s="16" t="s">
        <v>83</v>
      </c>
    </row>
    <row r="101" spans="1:9" x14ac:dyDescent="0.25">
      <c r="A101" s="6" t="s">
        <v>33</v>
      </c>
      <c r="B101" s="5">
        <v>45339</v>
      </c>
      <c r="C101" s="6" t="s">
        <v>223</v>
      </c>
      <c r="D101" s="7" t="s">
        <v>14</v>
      </c>
      <c r="E101" s="6" t="s">
        <v>10</v>
      </c>
      <c r="F101" s="45">
        <v>300</v>
      </c>
      <c r="G101" s="7" t="s">
        <v>8</v>
      </c>
      <c r="H101" s="6"/>
      <c r="I101" s="16" t="s">
        <v>83</v>
      </c>
    </row>
    <row r="102" spans="1:9" ht="15.75" x14ac:dyDescent="0.25">
      <c r="A102" s="6" t="s">
        <v>33</v>
      </c>
      <c r="B102" s="5">
        <v>45339</v>
      </c>
      <c r="C102" s="6" t="s">
        <v>224</v>
      </c>
      <c r="D102" s="6" t="s">
        <v>14</v>
      </c>
      <c r="E102" s="6" t="s">
        <v>10</v>
      </c>
      <c r="F102" s="45">
        <v>732.75862068965523</v>
      </c>
      <c r="G102" s="6" t="s">
        <v>15</v>
      </c>
      <c r="H102" s="6"/>
      <c r="I102" s="65" t="s">
        <v>83</v>
      </c>
    </row>
    <row r="103" spans="1:9" ht="15.75" x14ac:dyDescent="0.25">
      <c r="A103" s="6" t="s">
        <v>33</v>
      </c>
      <c r="B103" s="5">
        <v>45339</v>
      </c>
      <c r="C103" s="6" t="s">
        <v>225</v>
      </c>
      <c r="D103" s="6" t="s">
        <v>14</v>
      </c>
      <c r="E103" s="6" t="s">
        <v>11</v>
      </c>
      <c r="F103" s="45">
        <v>258.62068965517244</v>
      </c>
      <c r="G103" s="6" t="s">
        <v>15</v>
      </c>
      <c r="H103" s="6"/>
      <c r="I103" s="65" t="s">
        <v>83</v>
      </c>
    </row>
    <row r="104" spans="1:9" ht="15.75" x14ac:dyDescent="0.25">
      <c r="A104" s="6" t="s">
        <v>33</v>
      </c>
      <c r="B104" s="5">
        <v>45341</v>
      </c>
      <c r="C104" s="6" t="s">
        <v>226</v>
      </c>
      <c r="D104" s="6" t="s">
        <v>22</v>
      </c>
      <c r="E104" s="6" t="s">
        <v>18</v>
      </c>
      <c r="F104" s="45">
        <v>162</v>
      </c>
      <c r="G104" s="6" t="s">
        <v>34</v>
      </c>
      <c r="H104" s="6"/>
      <c r="I104" s="65" t="s">
        <v>83</v>
      </c>
    </row>
    <row r="105" spans="1:9" ht="15.75" x14ac:dyDescent="0.25">
      <c r="A105" s="6" t="s">
        <v>33</v>
      </c>
      <c r="B105" s="5">
        <v>45342</v>
      </c>
      <c r="C105" s="6" t="s">
        <v>227</v>
      </c>
      <c r="D105" s="6" t="s">
        <v>35</v>
      </c>
      <c r="E105" s="6" t="s">
        <v>18</v>
      </c>
      <c r="F105" s="45">
        <v>2996.2758620689656</v>
      </c>
      <c r="G105" s="6" t="s">
        <v>13</v>
      </c>
      <c r="H105" s="6"/>
      <c r="I105" s="65" t="s">
        <v>83</v>
      </c>
    </row>
    <row r="106" spans="1:9" ht="15.75" x14ac:dyDescent="0.25">
      <c r="A106" s="6" t="s">
        <v>33</v>
      </c>
      <c r="B106" s="5">
        <v>45342</v>
      </c>
      <c r="C106" s="6" t="s">
        <v>228</v>
      </c>
      <c r="D106" s="6" t="s">
        <v>14</v>
      </c>
      <c r="E106" s="6" t="s">
        <v>10</v>
      </c>
      <c r="F106" s="45">
        <v>337.62068965517244</v>
      </c>
      <c r="G106" s="6" t="s">
        <v>8</v>
      </c>
      <c r="H106" s="6"/>
      <c r="I106" s="65" t="s">
        <v>83</v>
      </c>
    </row>
    <row r="107" spans="1:9" ht="15.75" x14ac:dyDescent="0.25">
      <c r="A107" s="6" t="s">
        <v>33</v>
      </c>
      <c r="B107" s="5">
        <v>45343</v>
      </c>
      <c r="C107" s="6" t="s">
        <v>229</v>
      </c>
      <c r="D107" s="6" t="s">
        <v>88</v>
      </c>
      <c r="E107" s="6"/>
      <c r="F107" s="45">
        <v>0</v>
      </c>
      <c r="G107" s="6"/>
      <c r="H107" s="6"/>
      <c r="I107" s="65" t="s">
        <v>83</v>
      </c>
    </row>
    <row r="108" spans="1:9" ht="15.75" x14ac:dyDescent="0.25">
      <c r="A108" s="6" t="s">
        <v>33</v>
      </c>
      <c r="B108" s="5">
        <v>45346</v>
      </c>
      <c r="C108" s="6" t="s">
        <v>230</v>
      </c>
      <c r="D108" s="6" t="s">
        <v>231</v>
      </c>
      <c r="E108" s="6" t="s">
        <v>10</v>
      </c>
      <c r="F108" s="45">
        <v>948.27586206896558</v>
      </c>
      <c r="G108" s="6" t="s">
        <v>8</v>
      </c>
      <c r="H108" s="6"/>
      <c r="I108" s="65" t="s">
        <v>83</v>
      </c>
    </row>
    <row r="109" spans="1:9" ht="15.75" x14ac:dyDescent="0.25">
      <c r="A109" s="6" t="s">
        <v>33</v>
      </c>
      <c r="B109" s="5">
        <v>45346</v>
      </c>
      <c r="C109" s="6" t="s">
        <v>232</v>
      </c>
      <c r="D109" s="6" t="s">
        <v>14</v>
      </c>
      <c r="E109" s="6" t="s">
        <v>16</v>
      </c>
      <c r="F109" s="45">
        <v>1435</v>
      </c>
      <c r="G109" s="6" t="s">
        <v>15</v>
      </c>
      <c r="H109" s="6"/>
      <c r="I109" s="65" t="s">
        <v>83</v>
      </c>
    </row>
    <row r="110" spans="1:9" ht="15.75" x14ac:dyDescent="0.25">
      <c r="A110" s="6" t="s">
        <v>33</v>
      </c>
      <c r="B110" s="5">
        <v>45348</v>
      </c>
      <c r="C110" s="6" t="s">
        <v>233</v>
      </c>
      <c r="D110" s="6" t="s">
        <v>14</v>
      </c>
      <c r="E110" s="6" t="s">
        <v>16</v>
      </c>
      <c r="F110" s="45">
        <v>2482.7586206896553</v>
      </c>
      <c r="G110" s="6" t="s">
        <v>15</v>
      </c>
      <c r="H110" s="6"/>
      <c r="I110" s="65" t="s">
        <v>83</v>
      </c>
    </row>
    <row r="111" spans="1:9" ht="15.75" x14ac:dyDescent="0.25">
      <c r="A111" s="6" t="s">
        <v>33</v>
      </c>
      <c r="B111" s="5">
        <v>45348</v>
      </c>
      <c r="C111" s="6" t="s">
        <v>234</v>
      </c>
      <c r="D111" s="6" t="s">
        <v>14</v>
      </c>
      <c r="E111" s="6" t="s">
        <v>11</v>
      </c>
      <c r="F111" s="45">
        <v>258.62068965517244</v>
      </c>
      <c r="G111" s="6" t="s">
        <v>15</v>
      </c>
      <c r="H111" s="6"/>
      <c r="I111" s="65" t="s">
        <v>83</v>
      </c>
    </row>
    <row r="112" spans="1:9" ht="15.75" x14ac:dyDescent="0.25">
      <c r="A112" s="6" t="s">
        <v>33</v>
      </c>
      <c r="B112" s="5">
        <v>45348</v>
      </c>
      <c r="C112" s="6" t="s">
        <v>235</v>
      </c>
      <c r="D112" s="6" t="s">
        <v>236</v>
      </c>
      <c r="E112" s="6" t="s">
        <v>16</v>
      </c>
      <c r="F112" s="45">
        <v>2016</v>
      </c>
      <c r="G112" s="6" t="s">
        <v>15</v>
      </c>
      <c r="H112" s="6"/>
      <c r="I112" s="65" t="s">
        <v>83</v>
      </c>
    </row>
    <row r="113" spans="1:10" ht="15.75" x14ac:dyDescent="0.25">
      <c r="A113" s="6" t="s">
        <v>33</v>
      </c>
      <c r="B113" s="5">
        <v>45348</v>
      </c>
      <c r="C113" s="6" t="s">
        <v>237</v>
      </c>
      <c r="D113" s="6" t="s">
        <v>238</v>
      </c>
      <c r="E113" s="6" t="s">
        <v>10</v>
      </c>
      <c r="F113" s="45">
        <v>7999.0000000000009</v>
      </c>
      <c r="G113" s="6" t="s">
        <v>177</v>
      </c>
      <c r="H113" s="6"/>
      <c r="I113" s="65" t="s">
        <v>83</v>
      </c>
    </row>
    <row r="114" spans="1:10" ht="15.75" x14ac:dyDescent="0.25">
      <c r="A114" s="6" t="s">
        <v>33</v>
      </c>
      <c r="B114" s="5">
        <v>45348</v>
      </c>
      <c r="C114" s="6" t="s">
        <v>239</v>
      </c>
      <c r="D114" s="6" t="s">
        <v>25</v>
      </c>
      <c r="E114" s="6" t="s">
        <v>16</v>
      </c>
      <c r="F114" s="45">
        <v>6885.0000000000009</v>
      </c>
      <c r="G114" s="6" t="s">
        <v>15</v>
      </c>
      <c r="H114" s="6"/>
      <c r="I114" s="65" t="s">
        <v>83</v>
      </c>
    </row>
    <row r="115" spans="1:10" ht="15.75" x14ac:dyDescent="0.25">
      <c r="A115" s="6" t="s">
        <v>33</v>
      </c>
      <c r="B115" s="5">
        <v>45349</v>
      </c>
      <c r="C115" s="6" t="s">
        <v>240</v>
      </c>
      <c r="D115" s="14" t="s">
        <v>241</v>
      </c>
      <c r="E115" s="6" t="s">
        <v>23</v>
      </c>
      <c r="F115" s="45">
        <v>62000.000000000007</v>
      </c>
      <c r="G115" s="6" t="s">
        <v>177</v>
      </c>
      <c r="H115" s="6" t="s">
        <v>55</v>
      </c>
      <c r="I115" s="65" t="s">
        <v>83</v>
      </c>
    </row>
    <row r="116" spans="1:10" x14ac:dyDescent="0.25">
      <c r="A116" s="6" t="s">
        <v>33</v>
      </c>
      <c r="B116" s="5">
        <v>45349</v>
      </c>
      <c r="C116" s="6" t="s">
        <v>242</v>
      </c>
      <c r="D116" s="13" t="s">
        <v>14</v>
      </c>
      <c r="E116" s="6" t="s">
        <v>18</v>
      </c>
      <c r="F116" s="45">
        <v>387.93103448275866</v>
      </c>
      <c r="G116" s="6" t="s">
        <v>15</v>
      </c>
      <c r="H116" s="6"/>
      <c r="I116" s="16" t="s">
        <v>83</v>
      </c>
    </row>
    <row r="117" spans="1:10" ht="15.75" x14ac:dyDescent="0.25">
      <c r="A117" s="6" t="s">
        <v>33</v>
      </c>
      <c r="B117" s="5">
        <v>45349</v>
      </c>
      <c r="C117" s="6" t="s">
        <v>243</v>
      </c>
      <c r="D117" s="13" t="s">
        <v>244</v>
      </c>
      <c r="E117" s="6" t="s">
        <v>10</v>
      </c>
      <c r="F117" s="45">
        <v>1465.5172413793105</v>
      </c>
      <c r="G117" s="6" t="s">
        <v>8</v>
      </c>
      <c r="H117" s="6"/>
      <c r="I117" s="65" t="s">
        <v>83</v>
      </c>
    </row>
    <row r="118" spans="1:10" ht="15.75" x14ac:dyDescent="0.25">
      <c r="A118" s="6" t="s">
        <v>33</v>
      </c>
      <c r="B118" s="5">
        <v>45349</v>
      </c>
      <c r="C118" s="6" t="s">
        <v>245</v>
      </c>
      <c r="D118" s="13" t="s">
        <v>14</v>
      </c>
      <c r="E118" s="6" t="s">
        <v>16</v>
      </c>
      <c r="F118" s="45">
        <v>1370.0000000000002</v>
      </c>
      <c r="G118" s="6" t="s">
        <v>15</v>
      </c>
      <c r="H118" s="6"/>
      <c r="I118" s="65" t="s">
        <v>83</v>
      </c>
    </row>
    <row r="119" spans="1:10" ht="15.75" x14ac:dyDescent="0.25">
      <c r="A119" s="6" t="s">
        <v>33</v>
      </c>
      <c r="B119" s="5">
        <v>45349</v>
      </c>
      <c r="C119" s="6" t="s">
        <v>246</v>
      </c>
      <c r="D119" s="13" t="s">
        <v>247</v>
      </c>
      <c r="E119" s="6" t="s">
        <v>10</v>
      </c>
      <c r="F119" s="45">
        <v>1465.5172413793105</v>
      </c>
      <c r="G119" s="6" t="s">
        <v>15</v>
      </c>
      <c r="H119" s="6"/>
      <c r="I119" s="65" t="s">
        <v>83</v>
      </c>
    </row>
    <row r="120" spans="1:10" ht="15.75" x14ac:dyDescent="0.25">
      <c r="A120" s="6" t="s">
        <v>33</v>
      </c>
      <c r="B120" s="5">
        <v>45350</v>
      </c>
      <c r="C120" s="6" t="s">
        <v>248</v>
      </c>
      <c r="D120" s="13" t="s">
        <v>14</v>
      </c>
      <c r="E120" s="6" t="s">
        <v>20</v>
      </c>
      <c r="F120" s="45">
        <v>1724.1379310344828</v>
      </c>
      <c r="G120" s="6" t="s">
        <v>249</v>
      </c>
      <c r="H120" s="6" t="s">
        <v>250</v>
      </c>
      <c r="I120" s="65" t="s">
        <v>83</v>
      </c>
    </row>
    <row r="121" spans="1:10" ht="15.75" x14ac:dyDescent="0.25">
      <c r="A121" s="6" t="s">
        <v>33</v>
      </c>
      <c r="B121" s="5">
        <v>45350</v>
      </c>
      <c r="C121" s="6" t="s">
        <v>251</v>
      </c>
      <c r="D121" s="13" t="s">
        <v>252</v>
      </c>
      <c r="E121" s="6" t="s">
        <v>10</v>
      </c>
      <c r="F121" s="45">
        <v>1465.5172413793105</v>
      </c>
      <c r="G121" s="6" t="s">
        <v>15</v>
      </c>
      <c r="H121" s="6"/>
      <c r="I121" s="65" t="s">
        <v>83</v>
      </c>
    </row>
    <row r="122" spans="1:10" ht="15.75" x14ac:dyDescent="0.25">
      <c r="A122" s="6" t="s">
        <v>33</v>
      </c>
      <c r="B122" s="5">
        <v>45350</v>
      </c>
      <c r="C122" s="6" t="s">
        <v>253</v>
      </c>
      <c r="D122" s="6" t="s">
        <v>30</v>
      </c>
      <c r="E122" s="6"/>
      <c r="F122" s="45">
        <v>0</v>
      </c>
      <c r="G122" s="6"/>
      <c r="H122" s="6"/>
      <c r="I122" s="65" t="s">
        <v>83</v>
      </c>
    </row>
    <row r="123" spans="1:10" ht="15.75" x14ac:dyDescent="0.25">
      <c r="A123" s="6" t="s">
        <v>33</v>
      </c>
      <c r="B123" s="5">
        <v>45351</v>
      </c>
      <c r="C123" s="6" t="s">
        <v>254</v>
      </c>
      <c r="D123" s="6" t="s">
        <v>35</v>
      </c>
      <c r="E123" s="6" t="s">
        <v>10</v>
      </c>
      <c r="F123" s="45">
        <v>820.00000000000011</v>
      </c>
      <c r="G123" s="6" t="s">
        <v>13</v>
      </c>
      <c r="H123" s="6"/>
      <c r="I123" s="65" t="s">
        <v>83</v>
      </c>
    </row>
    <row r="124" spans="1:10" ht="15.75" x14ac:dyDescent="0.25">
      <c r="A124" s="6" t="s">
        <v>33</v>
      </c>
      <c r="B124" s="5">
        <v>45351</v>
      </c>
      <c r="C124" s="6" t="s">
        <v>255</v>
      </c>
      <c r="D124" s="6" t="s">
        <v>14</v>
      </c>
      <c r="E124" s="6" t="s">
        <v>16</v>
      </c>
      <c r="F124" s="45">
        <v>953.00000000000011</v>
      </c>
      <c r="G124" s="6" t="s">
        <v>15</v>
      </c>
      <c r="H124" s="6"/>
      <c r="I124" s="65" t="s">
        <v>83</v>
      </c>
    </row>
    <row r="125" spans="1:10" ht="15.75" x14ac:dyDescent="0.25">
      <c r="A125" s="6" t="s">
        <v>33</v>
      </c>
      <c r="B125" s="5">
        <v>45351</v>
      </c>
      <c r="C125" s="6" t="s">
        <v>256</v>
      </c>
      <c r="D125" s="6" t="s">
        <v>14</v>
      </c>
      <c r="E125" s="6" t="s">
        <v>16</v>
      </c>
      <c r="F125" s="45">
        <v>990.00000000000011</v>
      </c>
      <c r="G125" s="6" t="s">
        <v>15</v>
      </c>
      <c r="H125" s="6"/>
      <c r="I125" s="65" t="s">
        <v>83</v>
      </c>
    </row>
    <row r="126" spans="1:10" ht="15.75" x14ac:dyDescent="0.25">
      <c r="A126" s="20" t="s">
        <v>33</v>
      </c>
      <c r="B126" s="19">
        <v>45351</v>
      </c>
      <c r="C126" s="20" t="s">
        <v>257</v>
      </c>
      <c r="D126" s="20" t="s">
        <v>22</v>
      </c>
      <c r="E126" s="20" t="s">
        <v>10</v>
      </c>
      <c r="F126" s="47">
        <v>22400</v>
      </c>
      <c r="G126" s="20" t="s">
        <v>13</v>
      </c>
      <c r="H126" s="20"/>
      <c r="I126" s="68" t="s">
        <v>83</v>
      </c>
      <c r="J126" s="8" t="s">
        <v>2039</v>
      </c>
    </row>
    <row r="127" spans="1:10" ht="15.75" x14ac:dyDescent="0.25">
      <c r="A127" s="6" t="s">
        <v>33</v>
      </c>
      <c r="B127" s="5">
        <v>45351</v>
      </c>
      <c r="C127" s="6" t="s">
        <v>258</v>
      </c>
      <c r="D127" s="6" t="s">
        <v>14</v>
      </c>
      <c r="E127" s="6" t="s">
        <v>16</v>
      </c>
      <c r="F127" s="45">
        <v>7068.1034482758623</v>
      </c>
      <c r="G127" s="6" t="s">
        <v>15</v>
      </c>
      <c r="H127" s="6"/>
      <c r="I127" s="65" t="s">
        <v>83</v>
      </c>
    </row>
    <row r="128" spans="1:10" ht="15.75" x14ac:dyDescent="0.25">
      <c r="A128" s="6" t="s">
        <v>33</v>
      </c>
      <c r="B128" s="5">
        <v>45353</v>
      </c>
      <c r="C128" s="6" t="s">
        <v>259</v>
      </c>
      <c r="D128" s="6" t="s">
        <v>88</v>
      </c>
      <c r="E128" s="6"/>
      <c r="F128" s="45">
        <v>0</v>
      </c>
      <c r="G128" s="6"/>
      <c r="H128" s="6"/>
      <c r="I128" s="65" t="s">
        <v>83</v>
      </c>
    </row>
    <row r="129" spans="1:9" ht="15.75" x14ac:dyDescent="0.25">
      <c r="A129" s="6" t="s">
        <v>33</v>
      </c>
      <c r="B129" s="5">
        <v>45353</v>
      </c>
      <c r="C129" s="6" t="s">
        <v>260</v>
      </c>
      <c r="D129" s="6" t="s">
        <v>261</v>
      </c>
      <c r="E129" s="6" t="s">
        <v>16</v>
      </c>
      <c r="F129" s="45">
        <v>1940.0000000000002</v>
      </c>
      <c r="G129" s="6" t="s">
        <v>15</v>
      </c>
      <c r="H129" s="6"/>
      <c r="I129" s="65" t="s">
        <v>83</v>
      </c>
    </row>
    <row r="130" spans="1:9" ht="15.75" x14ac:dyDescent="0.25">
      <c r="A130" s="6" t="s">
        <v>33</v>
      </c>
      <c r="B130" s="5">
        <v>45356</v>
      </c>
      <c r="C130" s="6" t="s">
        <v>262</v>
      </c>
      <c r="D130" s="6" t="s">
        <v>14</v>
      </c>
      <c r="E130" s="6" t="s">
        <v>20</v>
      </c>
      <c r="F130" s="45">
        <v>4741.3793103448279</v>
      </c>
      <c r="G130" s="6" t="s">
        <v>8</v>
      </c>
      <c r="H130" s="6" t="s">
        <v>57</v>
      </c>
      <c r="I130" s="65" t="s">
        <v>83</v>
      </c>
    </row>
    <row r="131" spans="1:9" ht="15.75" x14ac:dyDescent="0.25">
      <c r="A131" s="6" t="s">
        <v>33</v>
      </c>
      <c r="B131" s="5">
        <v>45356</v>
      </c>
      <c r="C131" s="6" t="s">
        <v>263</v>
      </c>
      <c r="D131" s="6" t="s">
        <v>14</v>
      </c>
      <c r="E131" s="6" t="s">
        <v>16</v>
      </c>
      <c r="F131" s="45">
        <v>1805.0000000000002</v>
      </c>
      <c r="G131" s="6" t="s">
        <v>15</v>
      </c>
      <c r="H131" s="6"/>
      <c r="I131" s="65" t="s">
        <v>83</v>
      </c>
    </row>
    <row r="132" spans="1:9" ht="15.75" x14ac:dyDescent="0.25">
      <c r="A132" s="6" t="s">
        <v>33</v>
      </c>
      <c r="B132" s="5">
        <v>45357</v>
      </c>
      <c r="C132" s="6" t="s">
        <v>264</v>
      </c>
      <c r="D132" s="6" t="s">
        <v>265</v>
      </c>
      <c r="E132" s="6" t="s">
        <v>16</v>
      </c>
      <c r="F132" s="45">
        <v>1379.3103448275863</v>
      </c>
      <c r="G132" s="6" t="s">
        <v>15</v>
      </c>
      <c r="H132" s="6"/>
      <c r="I132" s="65" t="s">
        <v>83</v>
      </c>
    </row>
    <row r="133" spans="1:9" ht="15.75" x14ac:dyDescent="0.25">
      <c r="A133" s="6" t="s">
        <v>33</v>
      </c>
      <c r="B133" s="5">
        <v>45357</v>
      </c>
      <c r="C133" s="6" t="s">
        <v>266</v>
      </c>
      <c r="D133" s="6" t="s">
        <v>14</v>
      </c>
      <c r="E133" s="6" t="s">
        <v>18</v>
      </c>
      <c r="F133" s="45">
        <v>2709.4827586206898</v>
      </c>
      <c r="G133" s="6" t="s">
        <v>8</v>
      </c>
      <c r="H133" s="6"/>
      <c r="I133" s="65" t="s">
        <v>83</v>
      </c>
    </row>
    <row r="134" spans="1:9" ht="15.75" x14ac:dyDescent="0.25">
      <c r="A134" s="6" t="s">
        <v>33</v>
      </c>
      <c r="B134" s="5">
        <v>45358</v>
      </c>
      <c r="C134" s="6" t="s">
        <v>267</v>
      </c>
      <c r="D134" s="6" t="s">
        <v>35</v>
      </c>
      <c r="E134" s="6" t="s">
        <v>18</v>
      </c>
      <c r="F134" s="45">
        <v>991.66379310344826</v>
      </c>
      <c r="G134" s="6" t="s">
        <v>13</v>
      </c>
      <c r="H134" s="6"/>
      <c r="I134" s="65" t="s">
        <v>83</v>
      </c>
    </row>
    <row r="135" spans="1:9" ht="15.75" x14ac:dyDescent="0.25">
      <c r="A135" s="6" t="s">
        <v>33</v>
      </c>
      <c r="B135" s="5">
        <v>45359</v>
      </c>
      <c r="C135" s="6" t="s">
        <v>268</v>
      </c>
      <c r="D135" s="6" t="s">
        <v>22</v>
      </c>
      <c r="E135" s="6" t="s">
        <v>18</v>
      </c>
      <c r="F135" s="45">
        <v>8550</v>
      </c>
      <c r="G135" s="6" t="s">
        <v>34</v>
      </c>
      <c r="H135" s="6"/>
      <c r="I135" s="65" t="s">
        <v>83</v>
      </c>
    </row>
    <row r="136" spans="1:9" ht="15.75" x14ac:dyDescent="0.25">
      <c r="A136" s="6" t="s">
        <v>33</v>
      </c>
      <c r="B136" s="5">
        <v>45359</v>
      </c>
      <c r="C136" s="6" t="s">
        <v>269</v>
      </c>
      <c r="D136" s="6" t="s">
        <v>270</v>
      </c>
      <c r="E136" s="6" t="s">
        <v>18</v>
      </c>
      <c r="F136" s="45">
        <v>2069</v>
      </c>
      <c r="G136" s="6" t="s">
        <v>249</v>
      </c>
      <c r="H136" s="6"/>
      <c r="I136" s="65" t="s">
        <v>83</v>
      </c>
    </row>
    <row r="137" spans="1:9" ht="15.75" x14ac:dyDescent="0.25">
      <c r="A137" s="6" t="s">
        <v>33</v>
      </c>
      <c r="B137" s="5">
        <v>45360</v>
      </c>
      <c r="C137" s="6" t="s">
        <v>271</v>
      </c>
      <c r="D137" s="6" t="s">
        <v>14</v>
      </c>
      <c r="E137" s="6" t="s">
        <v>16</v>
      </c>
      <c r="F137" s="45">
        <v>995.00000000000011</v>
      </c>
      <c r="G137" s="6" t="s">
        <v>15</v>
      </c>
      <c r="H137" s="6"/>
      <c r="I137" s="65" t="s">
        <v>83</v>
      </c>
    </row>
    <row r="138" spans="1:9" ht="15.75" x14ac:dyDescent="0.25">
      <c r="A138" s="6" t="s">
        <v>33</v>
      </c>
      <c r="B138" s="5">
        <v>45360</v>
      </c>
      <c r="C138" s="6" t="s">
        <v>272</v>
      </c>
      <c r="D138" s="6" t="s">
        <v>14</v>
      </c>
      <c r="E138" s="6" t="s">
        <v>16</v>
      </c>
      <c r="F138" s="45">
        <v>3350.0000000000005</v>
      </c>
      <c r="G138" s="6" t="s">
        <v>15</v>
      </c>
      <c r="H138" s="6"/>
      <c r="I138" s="65" t="s">
        <v>83</v>
      </c>
    </row>
    <row r="139" spans="1:9" ht="15.75" x14ac:dyDescent="0.25">
      <c r="A139" s="6" t="s">
        <v>33</v>
      </c>
      <c r="B139" s="5">
        <v>45363</v>
      </c>
      <c r="C139" s="6" t="s">
        <v>273</v>
      </c>
      <c r="D139" s="6" t="s">
        <v>14</v>
      </c>
      <c r="E139" s="6" t="s">
        <v>16</v>
      </c>
      <c r="F139" s="45">
        <v>1016</v>
      </c>
      <c r="G139" s="6" t="s">
        <v>15</v>
      </c>
      <c r="H139" s="6"/>
      <c r="I139" s="65" t="s">
        <v>83</v>
      </c>
    </row>
    <row r="140" spans="1:9" ht="15.75" x14ac:dyDescent="0.25">
      <c r="A140" s="6" t="s">
        <v>33</v>
      </c>
      <c r="B140" s="5">
        <v>45364</v>
      </c>
      <c r="C140" s="6" t="s">
        <v>274</v>
      </c>
      <c r="D140" s="6" t="s">
        <v>275</v>
      </c>
      <c r="E140" s="6" t="s">
        <v>10</v>
      </c>
      <c r="F140" s="45">
        <v>379.31034482758622</v>
      </c>
      <c r="G140" s="6" t="s">
        <v>8</v>
      </c>
      <c r="H140" s="6"/>
      <c r="I140" s="65" t="s">
        <v>83</v>
      </c>
    </row>
    <row r="141" spans="1:9" ht="15.75" x14ac:dyDescent="0.25">
      <c r="A141" s="6" t="s">
        <v>33</v>
      </c>
      <c r="B141" s="5">
        <v>45365</v>
      </c>
      <c r="C141" s="6" t="s">
        <v>276</v>
      </c>
      <c r="D141" s="7" t="s">
        <v>277</v>
      </c>
      <c r="E141" s="6" t="s">
        <v>10</v>
      </c>
      <c r="F141" s="45">
        <v>1034.4827586206898</v>
      </c>
      <c r="G141" s="7" t="s">
        <v>8</v>
      </c>
      <c r="H141" s="6"/>
      <c r="I141" s="65" t="s">
        <v>83</v>
      </c>
    </row>
    <row r="142" spans="1:9" ht="15.75" x14ac:dyDescent="0.25">
      <c r="A142" s="6" t="s">
        <v>33</v>
      </c>
      <c r="B142" s="5">
        <v>45370</v>
      </c>
      <c r="C142" s="6" t="s">
        <v>278</v>
      </c>
      <c r="D142" s="6" t="s">
        <v>279</v>
      </c>
      <c r="E142" s="6" t="s">
        <v>20</v>
      </c>
      <c r="F142" s="45">
        <v>3600.0000000000005</v>
      </c>
      <c r="G142" s="6" t="s">
        <v>177</v>
      </c>
      <c r="H142" s="6" t="s">
        <v>67</v>
      </c>
      <c r="I142" s="65" t="s">
        <v>83</v>
      </c>
    </row>
    <row r="143" spans="1:9" ht="15.75" x14ac:dyDescent="0.25">
      <c r="A143" s="6" t="s">
        <v>33</v>
      </c>
      <c r="B143" s="5">
        <v>45370</v>
      </c>
      <c r="C143" s="6" t="s">
        <v>280</v>
      </c>
      <c r="D143" s="6" t="s">
        <v>14</v>
      </c>
      <c r="E143" s="6" t="s">
        <v>16</v>
      </c>
      <c r="F143" s="45">
        <v>1782</v>
      </c>
      <c r="G143" s="6" t="s">
        <v>15</v>
      </c>
      <c r="H143" s="6"/>
      <c r="I143" s="65" t="s">
        <v>83</v>
      </c>
    </row>
    <row r="144" spans="1:9" ht="15.75" x14ac:dyDescent="0.25">
      <c r="A144" s="6" t="s">
        <v>33</v>
      </c>
      <c r="B144" s="5">
        <v>45370</v>
      </c>
      <c r="C144" s="6" t="s">
        <v>281</v>
      </c>
      <c r="D144" s="6" t="s">
        <v>14</v>
      </c>
      <c r="E144" s="6" t="s">
        <v>16</v>
      </c>
      <c r="F144" s="45">
        <v>2880.0000000000005</v>
      </c>
      <c r="G144" s="6" t="s">
        <v>15</v>
      </c>
      <c r="H144" s="6"/>
      <c r="I144" s="65" t="s">
        <v>83</v>
      </c>
    </row>
    <row r="145" spans="1:9" ht="15.75" x14ac:dyDescent="0.25">
      <c r="A145" s="6" t="s">
        <v>33</v>
      </c>
      <c r="B145" s="5">
        <v>45371</v>
      </c>
      <c r="C145" s="6" t="s">
        <v>282</v>
      </c>
      <c r="D145" s="6" t="s">
        <v>283</v>
      </c>
      <c r="E145" s="6" t="s">
        <v>27</v>
      </c>
      <c r="F145" s="45">
        <v>646.55172413793105</v>
      </c>
      <c r="G145" s="6" t="s">
        <v>15</v>
      </c>
      <c r="H145" s="6"/>
      <c r="I145" s="65" t="s">
        <v>83</v>
      </c>
    </row>
    <row r="146" spans="1:9" ht="15.75" x14ac:dyDescent="0.25">
      <c r="A146" s="6" t="s">
        <v>33</v>
      </c>
      <c r="B146" s="5">
        <v>45371</v>
      </c>
      <c r="C146" s="6" t="s">
        <v>284</v>
      </c>
      <c r="D146" s="6" t="s">
        <v>25</v>
      </c>
      <c r="E146" s="6" t="s">
        <v>10</v>
      </c>
      <c r="F146" s="45">
        <v>633.62068965517244</v>
      </c>
      <c r="G146" s="6" t="s">
        <v>8</v>
      </c>
      <c r="H146" s="6"/>
      <c r="I146" s="65" t="s">
        <v>83</v>
      </c>
    </row>
    <row r="147" spans="1:9" ht="15.75" x14ac:dyDescent="0.25">
      <c r="A147" s="6" t="s">
        <v>33</v>
      </c>
      <c r="B147" s="5">
        <v>45371</v>
      </c>
      <c r="C147" s="6" t="s">
        <v>285</v>
      </c>
      <c r="D147" s="6" t="s">
        <v>286</v>
      </c>
      <c r="E147" s="6" t="s">
        <v>18</v>
      </c>
      <c r="F147" s="45">
        <v>892.24137931034488</v>
      </c>
      <c r="G147" s="6" t="s">
        <v>15</v>
      </c>
      <c r="H147" s="6"/>
      <c r="I147" s="65" t="s">
        <v>83</v>
      </c>
    </row>
    <row r="148" spans="1:9" x14ac:dyDescent="0.25">
      <c r="A148" s="6" t="s">
        <v>33</v>
      </c>
      <c r="B148" s="5">
        <v>45372</v>
      </c>
      <c r="C148" s="6" t="s">
        <v>287</v>
      </c>
      <c r="D148" s="6" t="s">
        <v>14</v>
      </c>
      <c r="E148" s="6" t="s">
        <v>20</v>
      </c>
      <c r="F148" s="45">
        <v>931.0344827586207</v>
      </c>
      <c r="G148" s="6" t="s">
        <v>8</v>
      </c>
      <c r="H148" s="6" t="s">
        <v>288</v>
      </c>
      <c r="I148" s="16" t="s">
        <v>83</v>
      </c>
    </row>
    <row r="149" spans="1:9" ht="15.75" x14ac:dyDescent="0.25">
      <c r="A149" s="6" t="s">
        <v>33</v>
      </c>
      <c r="B149" s="5">
        <v>45372</v>
      </c>
      <c r="C149" s="6" t="s">
        <v>289</v>
      </c>
      <c r="D149" s="6" t="s">
        <v>22</v>
      </c>
      <c r="E149" s="6"/>
      <c r="F149" s="45">
        <v>0</v>
      </c>
      <c r="G149" s="6"/>
      <c r="H149" s="6"/>
      <c r="I149" s="65" t="s">
        <v>83</v>
      </c>
    </row>
    <row r="150" spans="1:9" ht="15.75" x14ac:dyDescent="0.25">
      <c r="A150" s="6" t="s">
        <v>33</v>
      </c>
      <c r="B150" s="5">
        <v>45373</v>
      </c>
      <c r="C150" s="6" t="s">
        <v>290</v>
      </c>
      <c r="D150" s="6" t="s">
        <v>22</v>
      </c>
      <c r="E150" s="6" t="s">
        <v>18</v>
      </c>
      <c r="F150" s="45">
        <v>1063</v>
      </c>
      <c r="G150" s="6" t="s">
        <v>34</v>
      </c>
      <c r="H150" s="6"/>
      <c r="I150" s="65" t="s">
        <v>83</v>
      </c>
    </row>
    <row r="151" spans="1:9" ht="15.75" x14ac:dyDescent="0.25">
      <c r="A151" s="6" t="s">
        <v>33</v>
      </c>
      <c r="B151" s="5">
        <v>45373</v>
      </c>
      <c r="C151" s="6" t="s">
        <v>291</v>
      </c>
      <c r="D151" s="6" t="s">
        <v>30</v>
      </c>
      <c r="E151" s="6"/>
      <c r="F151" s="45">
        <v>0</v>
      </c>
      <c r="G151" s="6"/>
      <c r="H151" s="6"/>
      <c r="I151" s="65" t="s">
        <v>83</v>
      </c>
    </row>
    <row r="152" spans="1:9" ht="15.75" x14ac:dyDescent="0.25">
      <c r="A152" s="6" t="s">
        <v>33</v>
      </c>
      <c r="B152" s="5">
        <v>45373</v>
      </c>
      <c r="C152" s="6" t="s">
        <v>292</v>
      </c>
      <c r="D152" s="6" t="s">
        <v>14</v>
      </c>
      <c r="E152" s="6" t="s">
        <v>10</v>
      </c>
      <c r="F152" s="45">
        <v>2105.1724137931037</v>
      </c>
      <c r="G152" s="6" t="s">
        <v>8</v>
      </c>
      <c r="H152" s="6"/>
      <c r="I152" s="65" t="s">
        <v>83</v>
      </c>
    </row>
    <row r="153" spans="1:9" ht="15.75" x14ac:dyDescent="0.25">
      <c r="A153" s="6" t="s">
        <v>33</v>
      </c>
      <c r="B153" s="5">
        <v>45373</v>
      </c>
      <c r="C153" s="6" t="s">
        <v>293</v>
      </c>
      <c r="D153" s="6" t="s">
        <v>294</v>
      </c>
      <c r="E153" s="6" t="s">
        <v>20</v>
      </c>
      <c r="F153" s="45">
        <v>4310.3448275862074</v>
      </c>
      <c r="G153" s="6" t="s">
        <v>8</v>
      </c>
      <c r="H153" s="6" t="s">
        <v>295</v>
      </c>
      <c r="I153" s="65" t="s">
        <v>83</v>
      </c>
    </row>
    <row r="154" spans="1:9" ht="15.75" x14ac:dyDescent="0.25">
      <c r="A154" s="6" t="s">
        <v>33</v>
      </c>
      <c r="B154" s="5">
        <v>45373</v>
      </c>
      <c r="C154" s="6" t="s">
        <v>296</v>
      </c>
      <c r="D154" s="6" t="s">
        <v>19</v>
      </c>
      <c r="E154" s="6" t="s">
        <v>23</v>
      </c>
      <c r="F154" s="45">
        <v>27882.543103448279</v>
      </c>
      <c r="G154" s="6" t="s">
        <v>13</v>
      </c>
      <c r="H154" s="6" t="s">
        <v>39</v>
      </c>
      <c r="I154" s="65" t="s">
        <v>83</v>
      </c>
    </row>
    <row r="155" spans="1:9" ht="15.75" x14ac:dyDescent="0.25">
      <c r="A155" s="6" t="s">
        <v>33</v>
      </c>
      <c r="B155" s="5">
        <v>45373</v>
      </c>
      <c r="C155" s="6" t="s">
        <v>297</v>
      </c>
      <c r="D155" s="6" t="s">
        <v>14</v>
      </c>
      <c r="E155" s="6" t="s">
        <v>10</v>
      </c>
      <c r="F155" s="45">
        <v>86.206896551724142</v>
      </c>
      <c r="G155" s="6" t="s">
        <v>8</v>
      </c>
      <c r="H155" s="6"/>
      <c r="I155" s="65" t="s">
        <v>83</v>
      </c>
    </row>
    <row r="156" spans="1:9" ht="15.75" x14ac:dyDescent="0.25">
      <c r="A156" s="6" t="s">
        <v>33</v>
      </c>
      <c r="B156" s="5">
        <v>45373</v>
      </c>
      <c r="C156" s="6" t="s">
        <v>298</v>
      </c>
      <c r="D156" s="6" t="s">
        <v>14</v>
      </c>
      <c r="E156" s="6" t="s">
        <v>18</v>
      </c>
      <c r="F156" s="45">
        <v>905.17241379310349</v>
      </c>
      <c r="G156" s="6" t="s">
        <v>15</v>
      </c>
      <c r="H156" s="6"/>
      <c r="I156" s="65" t="s">
        <v>83</v>
      </c>
    </row>
    <row r="157" spans="1:9" ht="15.75" x14ac:dyDescent="0.25">
      <c r="A157" s="6" t="s">
        <v>33</v>
      </c>
      <c r="B157" s="5">
        <v>45374</v>
      </c>
      <c r="C157" s="6" t="s">
        <v>299</v>
      </c>
      <c r="D157" s="6" t="s">
        <v>14</v>
      </c>
      <c r="E157" s="6" t="s">
        <v>16</v>
      </c>
      <c r="F157" s="45">
        <v>1176.0000000000002</v>
      </c>
      <c r="G157" s="6" t="s">
        <v>15</v>
      </c>
      <c r="H157" s="6"/>
      <c r="I157" s="65" t="s">
        <v>83</v>
      </c>
    </row>
    <row r="158" spans="1:9" ht="15.75" x14ac:dyDescent="0.25">
      <c r="A158" s="6" t="s">
        <v>33</v>
      </c>
      <c r="B158" s="5">
        <v>45376</v>
      </c>
      <c r="C158" s="6" t="s">
        <v>300</v>
      </c>
      <c r="D158" s="6" t="s">
        <v>301</v>
      </c>
      <c r="E158" s="6" t="s">
        <v>18</v>
      </c>
      <c r="F158" s="45">
        <v>431.0344827586207</v>
      </c>
      <c r="G158" s="6" t="s">
        <v>15</v>
      </c>
      <c r="H158" s="6"/>
      <c r="I158" s="65" t="s">
        <v>83</v>
      </c>
    </row>
    <row r="159" spans="1:9" ht="15.75" x14ac:dyDescent="0.25">
      <c r="A159" s="6" t="s">
        <v>33</v>
      </c>
      <c r="B159" s="5">
        <v>45376</v>
      </c>
      <c r="C159" s="6" t="s">
        <v>302</v>
      </c>
      <c r="D159" s="6" t="s">
        <v>303</v>
      </c>
      <c r="E159" s="6" t="s">
        <v>18</v>
      </c>
      <c r="F159" s="45">
        <v>1982.7586206896553</v>
      </c>
      <c r="G159" s="6" t="s">
        <v>8</v>
      </c>
      <c r="H159" s="6"/>
      <c r="I159" s="65" t="s">
        <v>83</v>
      </c>
    </row>
    <row r="160" spans="1:9" ht="15.75" x14ac:dyDescent="0.25">
      <c r="A160" s="6" t="s">
        <v>33</v>
      </c>
      <c r="B160" s="5">
        <v>45376</v>
      </c>
      <c r="C160" s="6" t="s">
        <v>304</v>
      </c>
      <c r="D160" s="6" t="s">
        <v>301</v>
      </c>
      <c r="E160" s="6" t="s">
        <v>10</v>
      </c>
      <c r="F160" s="45">
        <v>2155.1724137931037</v>
      </c>
      <c r="G160" s="6" t="s">
        <v>8</v>
      </c>
      <c r="H160" s="6"/>
      <c r="I160" s="65" t="s">
        <v>83</v>
      </c>
    </row>
    <row r="161" spans="1:9" ht="15.75" x14ac:dyDescent="0.25">
      <c r="A161" s="6" t="s">
        <v>33</v>
      </c>
      <c r="B161" s="5">
        <v>45376</v>
      </c>
      <c r="C161" s="6" t="s">
        <v>305</v>
      </c>
      <c r="D161" s="6" t="s">
        <v>301</v>
      </c>
      <c r="E161" s="6" t="s">
        <v>10</v>
      </c>
      <c r="F161" s="45">
        <v>689.65517241379314</v>
      </c>
      <c r="G161" s="6" t="s">
        <v>8</v>
      </c>
      <c r="H161" s="6"/>
      <c r="I161" s="65" t="s">
        <v>83</v>
      </c>
    </row>
    <row r="162" spans="1:9" x14ac:dyDescent="0.25">
      <c r="A162" s="6" t="s">
        <v>33</v>
      </c>
      <c r="B162" s="5">
        <v>45377</v>
      </c>
      <c r="C162" s="6" t="s">
        <v>306</v>
      </c>
      <c r="D162" s="7" t="s">
        <v>307</v>
      </c>
      <c r="E162" s="6" t="s">
        <v>10</v>
      </c>
      <c r="F162" s="45">
        <v>90.517241379310349</v>
      </c>
      <c r="G162" s="7" t="s">
        <v>8</v>
      </c>
      <c r="H162" s="6"/>
      <c r="I162" s="16" t="s">
        <v>83</v>
      </c>
    </row>
    <row r="163" spans="1:9" ht="15.75" x14ac:dyDescent="0.25">
      <c r="A163" s="6" t="s">
        <v>33</v>
      </c>
      <c r="B163" s="5">
        <v>45377</v>
      </c>
      <c r="C163" s="6" t="s">
        <v>308</v>
      </c>
      <c r="D163" s="6" t="s">
        <v>309</v>
      </c>
      <c r="E163" s="6" t="s">
        <v>10</v>
      </c>
      <c r="F163" s="45">
        <v>1465.5172413793105</v>
      </c>
      <c r="G163" s="6" t="s">
        <v>8</v>
      </c>
      <c r="H163" s="6"/>
      <c r="I163" s="65" t="s">
        <v>83</v>
      </c>
    </row>
    <row r="164" spans="1:9" ht="15.75" x14ac:dyDescent="0.25">
      <c r="A164" s="6" t="s">
        <v>33</v>
      </c>
      <c r="B164" s="5">
        <v>45377</v>
      </c>
      <c r="C164" s="6" t="s">
        <v>310</v>
      </c>
      <c r="D164" s="6" t="s">
        <v>311</v>
      </c>
      <c r="E164" s="6" t="s">
        <v>10</v>
      </c>
      <c r="F164" s="45">
        <v>90.517241379310349</v>
      </c>
      <c r="G164" s="6" t="s">
        <v>8</v>
      </c>
      <c r="H164" s="6"/>
      <c r="I164" s="65" t="s">
        <v>83</v>
      </c>
    </row>
    <row r="165" spans="1:9" ht="15.75" x14ac:dyDescent="0.25">
      <c r="A165" s="6" t="s">
        <v>33</v>
      </c>
      <c r="B165" s="5">
        <v>45377</v>
      </c>
      <c r="C165" s="6" t="s">
        <v>312</v>
      </c>
      <c r="D165" s="6" t="s">
        <v>14</v>
      </c>
      <c r="E165" s="6" t="s">
        <v>16</v>
      </c>
      <c r="F165" s="45">
        <v>1037.0000000000002</v>
      </c>
      <c r="G165" s="6" t="s">
        <v>15</v>
      </c>
      <c r="H165" s="6"/>
      <c r="I165" s="65" t="s">
        <v>83</v>
      </c>
    </row>
    <row r="166" spans="1:9" ht="15.75" x14ac:dyDescent="0.25">
      <c r="A166" s="6" t="s">
        <v>33</v>
      </c>
      <c r="B166" s="5">
        <v>45377</v>
      </c>
      <c r="C166" s="6" t="s">
        <v>313</v>
      </c>
      <c r="D166" s="6" t="s">
        <v>35</v>
      </c>
      <c r="E166" s="6" t="s">
        <v>10</v>
      </c>
      <c r="F166" s="45">
        <v>563.00000000000011</v>
      </c>
      <c r="G166" s="6" t="s">
        <v>13</v>
      </c>
      <c r="H166" s="6"/>
      <c r="I166" s="65" t="s">
        <v>83</v>
      </c>
    </row>
    <row r="167" spans="1:9" ht="15.75" x14ac:dyDescent="0.25">
      <c r="A167" s="6" t="s">
        <v>33</v>
      </c>
      <c r="B167" s="5">
        <v>45377</v>
      </c>
      <c r="C167" s="6" t="s">
        <v>314</v>
      </c>
      <c r="D167" s="6" t="s">
        <v>315</v>
      </c>
      <c r="E167" s="6" t="s">
        <v>16</v>
      </c>
      <c r="F167" s="45">
        <v>6002.4137931034493</v>
      </c>
      <c r="G167" s="6" t="s">
        <v>15</v>
      </c>
      <c r="H167" s="6"/>
      <c r="I167" s="65" t="s">
        <v>83</v>
      </c>
    </row>
    <row r="168" spans="1:9" ht="15.75" x14ac:dyDescent="0.25">
      <c r="A168" s="6" t="s">
        <v>33</v>
      </c>
      <c r="B168" s="5">
        <v>45378</v>
      </c>
      <c r="C168" s="6" t="s">
        <v>316</v>
      </c>
      <c r="D168" s="6" t="s">
        <v>317</v>
      </c>
      <c r="E168" s="6" t="s">
        <v>16</v>
      </c>
      <c r="F168" s="45">
        <v>2896.0000000000005</v>
      </c>
      <c r="G168" s="6" t="s">
        <v>15</v>
      </c>
      <c r="H168" s="6"/>
      <c r="I168" s="65" t="s">
        <v>83</v>
      </c>
    </row>
    <row r="169" spans="1:9" ht="15.75" x14ac:dyDescent="0.25">
      <c r="A169" s="6" t="s">
        <v>33</v>
      </c>
      <c r="B169" s="5">
        <v>45378</v>
      </c>
      <c r="C169" s="6" t="s">
        <v>318</v>
      </c>
      <c r="D169" s="6" t="s">
        <v>261</v>
      </c>
      <c r="E169" s="6" t="s">
        <v>10</v>
      </c>
      <c r="F169" s="45">
        <v>129.31034482758622</v>
      </c>
      <c r="G169" s="6" t="s">
        <v>8</v>
      </c>
      <c r="H169" s="6"/>
      <c r="I169" s="65" t="s">
        <v>83</v>
      </c>
    </row>
    <row r="170" spans="1:9" ht="15.75" x14ac:dyDescent="0.25">
      <c r="A170" s="6" t="s">
        <v>33</v>
      </c>
      <c r="B170" s="5">
        <v>45378</v>
      </c>
      <c r="C170" s="6" t="s">
        <v>319</v>
      </c>
      <c r="D170" s="6" t="s">
        <v>14</v>
      </c>
      <c r="E170" s="6" t="s">
        <v>16</v>
      </c>
      <c r="F170" s="45">
        <v>3898.0000000000005</v>
      </c>
      <c r="G170" s="6" t="s">
        <v>15</v>
      </c>
      <c r="H170" s="6"/>
      <c r="I170" s="65" t="s">
        <v>83</v>
      </c>
    </row>
    <row r="171" spans="1:9" ht="15.75" x14ac:dyDescent="0.25">
      <c r="A171" s="6" t="s">
        <v>33</v>
      </c>
      <c r="B171" s="5">
        <v>45383</v>
      </c>
      <c r="C171" s="6" t="s">
        <v>320</v>
      </c>
      <c r="D171" s="6" t="s">
        <v>321</v>
      </c>
      <c r="E171" s="6" t="s">
        <v>18</v>
      </c>
      <c r="F171" s="45">
        <v>1724.1379310344828</v>
      </c>
      <c r="G171" s="6" t="s">
        <v>177</v>
      </c>
      <c r="H171" s="6"/>
      <c r="I171" s="65" t="s">
        <v>83</v>
      </c>
    </row>
    <row r="172" spans="1:9" ht="15.75" x14ac:dyDescent="0.25">
      <c r="A172" s="6" t="s">
        <v>33</v>
      </c>
      <c r="B172" s="5"/>
      <c r="C172" s="6" t="s">
        <v>322</v>
      </c>
      <c r="D172" s="6" t="s">
        <v>30</v>
      </c>
      <c r="E172" s="6"/>
      <c r="F172" s="45">
        <v>0</v>
      </c>
      <c r="G172" s="6"/>
      <c r="H172" s="6"/>
      <c r="I172" s="65" t="s">
        <v>83</v>
      </c>
    </row>
    <row r="173" spans="1:9" ht="15.75" x14ac:dyDescent="0.25">
      <c r="A173" s="6" t="s">
        <v>33</v>
      </c>
      <c r="B173" s="5">
        <v>45384</v>
      </c>
      <c r="C173" s="6" t="s">
        <v>323</v>
      </c>
      <c r="D173" s="6" t="s">
        <v>324</v>
      </c>
      <c r="E173" s="6" t="s">
        <v>10</v>
      </c>
      <c r="F173" s="45">
        <v>172.41379310344828</v>
      </c>
      <c r="G173" s="6" t="s">
        <v>8</v>
      </c>
      <c r="H173" s="6"/>
      <c r="I173" s="65" t="s">
        <v>83</v>
      </c>
    </row>
    <row r="174" spans="1:9" ht="15.75" x14ac:dyDescent="0.25">
      <c r="A174" s="6" t="s">
        <v>33</v>
      </c>
      <c r="B174" s="5">
        <v>45384</v>
      </c>
      <c r="C174" s="6" t="s">
        <v>325</v>
      </c>
      <c r="D174" s="6" t="s">
        <v>326</v>
      </c>
      <c r="E174" s="6" t="s">
        <v>16</v>
      </c>
      <c r="F174" s="45">
        <v>2664</v>
      </c>
      <c r="G174" s="6" t="s">
        <v>15</v>
      </c>
      <c r="H174" s="6"/>
      <c r="I174" s="65" t="s">
        <v>83</v>
      </c>
    </row>
    <row r="175" spans="1:9" ht="15.75" x14ac:dyDescent="0.25">
      <c r="A175" s="6" t="s">
        <v>33</v>
      </c>
      <c r="B175" s="5">
        <v>45384</v>
      </c>
      <c r="C175" s="6" t="s">
        <v>327</v>
      </c>
      <c r="D175" s="6" t="s">
        <v>14</v>
      </c>
      <c r="E175" s="6" t="s">
        <v>16</v>
      </c>
      <c r="F175" s="45">
        <v>3368.0000000000005</v>
      </c>
      <c r="G175" s="6" t="s">
        <v>15</v>
      </c>
      <c r="H175" s="6"/>
      <c r="I175" s="65" t="s">
        <v>83</v>
      </c>
    </row>
    <row r="176" spans="1:9" ht="15.75" x14ac:dyDescent="0.25">
      <c r="A176" s="6" t="s">
        <v>33</v>
      </c>
      <c r="B176" s="5">
        <v>45385</v>
      </c>
      <c r="C176" s="6" t="s">
        <v>328</v>
      </c>
      <c r="D176" s="6" t="s">
        <v>14</v>
      </c>
      <c r="E176" s="6" t="s">
        <v>16</v>
      </c>
      <c r="F176" s="45">
        <v>1164</v>
      </c>
      <c r="G176" s="6" t="s">
        <v>15</v>
      </c>
      <c r="H176" s="6"/>
      <c r="I176" s="65" t="s">
        <v>83</v>
      </c>
    </row>
    <row r="177" spans="1:9" ht="15.75" x14ac:dyDescent="0.25">
      <c r="A177" s="6" t="s">
        <v>33</v>
      </c>
      <c r="B177" s="5">
        <v>45385</v>
      </c>
      <c r="C177" s="6" t="s">
        <v>329</v>
      </c>
      <c r="D177" s="6" t="s">
        <v>14</v>
      </c>
      <c r="E177" s="6" t="s">
        <v>18</v>
      </c>
      <c r="F177" s="45">
        <v>327.58620689655174</v>
      </c>
      <c r="G177" s="6" t="s">
        <v>8</v>
      </c>
      <c r="H177" s="6"/>
      <c r="I177" s="65" t="s">
        <v>83</v>
      </c>
    </row>
    <row r="178" spans="1:9" ht="15.75" x14ac:dyDescent="0.25">
      <c r="A178" s="6" t="s">
        <v>33</v>
      </c>
      <c r="B178" s="5">
        <v>45387</v>
      </c>
      <c r="C178" s="6" t="s">
        <v>330</v>
      </c>
      <c r="D178" s="6" t="s">
        <v>331</v>
      </c>
      <c r="E178" s="6"/>
      <c r="F178" s="45">
        <v>0</v>
      </c>
      <c r="G178" s="6"/>
      <c r="H178" s="6"/>
      <c r="I178" s="65" t="s">
        <v>83</v>
      </c>
    </row>
    <row r="179" spans="1:9" ht="15.75" x14ac:dyDescent="0.25">
      <c r="A179" s="6" t="s">
        <v>33</v>
      </c>
      <c r="B179" s="5">
        <v>45387</v>
      </c>
      <c r="C179" s="6" t="s">
        <v>332</v>
      </c>
      <c r="D179" s="6" t="s">
        <v>333</v>
      </c>
      <c r="E179" s="6" t="s">
        <v>10</v>
      </c>
      <c r="F179" s="45">
        <v>450.00000000000006</v>
      </c>
      <c r="G179" s="6" t="s">
        <v>8</v>
      </c>
      <c r="H179" s="6"/>
      <c r="I179" s="65" t="s">
        <v>83</v>
      </c>
    </row>
    <row r="180" spans="1:9" ht="15.75" x14ac:dyDescent="0.25">
      <c r="A180" s="6" t="s">
        <v>33</v>
      </c>
      <c r="B180" s="5">
        <v>45387</v>
      </c>
      <c r="C180" s="6" t="s">
        <v>334</v>
      </c>
      <c r="D180" s="6" t="s">
        <v>14</v>
      </c>
      <c r="E180" s="6" t="s">
        <v>10</v>
      </c>
      <c r="F180" s="45">
        <v>474.13793103448279</v>
      </c>
      <c r="G180" s="6" t="s">
        <v>8</v>
      </c>
      <c r="H180" s="6"/>
      <c r="I180" s="65" t="s">
        <v>83</v>
      </c>
    </row>
    <row r="181" spans="1:9" ht="15.75" x14ac:dyDescent="0.25">
      <c r="A181" s="6" t="s">
        <v>33</v>
      </c>
      <c r="B181" s="5">
        <v>45387</v>
      </c>
      <c r="C181" s="6" t="s">
        <v>335</v>
      </c>
      <c r="D181" s="6" t="s">
        <v>336</v>
      </c>
      <c r="E181" s="6" t="s">
        <v>16</v>
      </c>
      <c r="F181" s="45">
        <v>2244</v>
      </c>
      <c r="G181" s="6" t="s">
        <v>15</v>
      </c>
      <c r="H181" s="6"/>
      <c r="I181" s="65" t="s">
        <v>83</v>
      </c>
    </row>
    <row r="182" spans="1:9" ht="15.75" x14ac:dyDescent="0.25">
      <c r="A182" s="6" t="s">
        <v>33</v>
      </c>
      <c r="B182" s="5">
        <v>45387</v>
      </c>
      <c r="C182" s="6" t="s">
        <v>337</v>
      </c>
      <c r="D182" s="6" t="s">
        <v>14</v>
      </c>
      <c r="E182" s="6" t="s">
        <v>18</v>
      </c>
      <c r="F182" s="45">
        <v>357.00000000000006</v>
      </c>
      <c r="G182" s="6" t="s">
        <v>8</v>
      </c>
      <c r="H182" s="6"/>
      <c r="I182" s="65" t="s">
        <v>83</v>
      </c>
    </row>
    <row r="183" spans="1:9" ht="15.75" x14ac:dyDescent="0.25">
      <c r="A183" s="6" t="s">
        <v>33</v>
      </c>
      <c r="B183" s="5">
        <v>45387</v>
      </c>
      <c r="C183" s="6" t="s">
        <v>338</v>
      </c>
      <c r="D183" s="6" t="s">
        <v>14</v>
      </c>
      <c r="E183" s="6" t="s">
        <v>10</v>
      </c>
      <c r="F183" s="45">
        <v>172.41379310344828</v>
      </c>
      <c r="G183" s="6" t="s">
        <v>8</v>
      </c>
      <c r="H183" s="6"/>
      <c r="I183" s="65" t="s">
        <v>83</v>
      </c>
    </row>
    <row r="184" spans="1:9" ht="15.75" x14ac:dyDescent="0.25">
      <c r="A184" s="6" t="s">
        <v>33</v>
      </c>
      <c r="B184" s="5">
        <v>45387</v>
      </c>
      <c r="C184" s="6" t="s">
        <v>339</v>
      </c>
      <c r="D184" s="7" t="s">
        <v>340</v>
      </c>
      <c r="E184" s="6" t="s">
        <v>18</v>
      </c>
      <c r="F184" s="45">
        <v>1293.1034482758621</v>
      </c>
      <c r="G184" s="7" t="s">
        <v>15</v>
      </c>
      <c r="H184" s="6"/>
      <c r="I184" s="65" t="s">
        <v>83</v>
      </c>
    </row>
    <row r="185" spans="1:9" ht="15.75" x14ac:dyDescent="0.25">
      <c r="A185" s="6" t="s">
        <v>33</v>
      </c>
      <c r="B185" s="5">
        <v>45390</v>
      </c>
      <c r="C185" s="6" t="s">
        <v>341</v>
      </c>
      <c r="D185" s="6" t="s">
        <v>14</v>
      </c>
      <c r="E185" s="6" t="s">
        <v>11</v>
      </c>
      <c r="F185" s="45">
        <v>258.62068965517244</v>
      </c>
      <c r="G185" s="6" t="s">
        <v>15</v>
      </c>
      <c r="H185" s="6"/>
      <c r="I185" s="65" t="s">
        <v>83</v>
      </c>
    </row>
    <row r="186" spans="1:9" ht="15.75" x14ac:dyDescent="0.25">
      <c r="A186" s="6" t="s">
        <v>33</v>
      </c>
      <c r="B186" s="5">
        <v>45390</v>
      </c>
      <c r="C186" s="6" t="s">
        <v>342</v>
      </c>
      <c r="D186" s="6" t="s">
        <v>14</v>
      </c>
      <c r="E186" s="6" t="s">
        <v>16</v>
      </c>
      <c r="F186" s="45">
        <v>1308</v>
      </c>
      <c r="G186" s="6" t="s">
        <v>15</v>
      </c>
      <c r="H186" s="6"/>
      <c r="I186" s="65" t="s">
        <v>83</v>
      </c>
    </row>
    <row r="187" spans="1:9" ht="15.75" x14ac:dyDescent="0.25">
      <c r="A187" s="6" t="s">
        <v>33</v>
      </c>
      <c r="B187" s="5">
        <v>45390</v>
      </c>
      <c r="C187" s="6" t="s">
        <v>343</v>
      </c>
      <c r="D187" s="6" t="s">
        <v>22</v>
      </c>
      <c r="E187" s="6" t="s">
        <v>18</v>
      </c>
      <c r="F187" s="45">
        <v>7668</v>
      </c>
      <c r="G187" s="6" t="s">
        <v>34</v>
      </c>
      <c r="H187" s="6"/>
      <c r="I187" s="65" t="s">
        <v>83</v>
      </c>
    </row>
    <row r="188" spans="1:9" ht="15.75" x14ac:dyDescent="0.25">
      <c r="A188" s="6" t="s">
        <v>33</v>
      </c>
      <c r="B188" s="5">
        <v>45391</v>
      </c>
      <c r="C188" s="6" t="s">
        <v>344</v>
      </c>
      <c r="D188" s="6" t="s">
        <v>321</v>
      </c>
      <c r="E188" s="6" t="s">
        <v>27</v>
      </c>
      <c r="F188" s="45">
        <v>1724.1379310344828</v>
      </c>
      <c r="G188" s="6" t="s">
        <v>177</v>
      </c>
      <c r="H188" s="6"/>
      <c r="I188" s="65" t="s">
        <v>83</v>
      </c>
    </row>
    <row r="189" spans="1:9" ht="15.75" x14ac:dyDescent="0.25">
      <c r="A189" s="6" t="s">
        <v>33</v>
      </c>
      <c r="B189" s="5">
        <v>45391</v>
      </c>
      <c r="C189" s="6" t="s">
        <v>345</v>
      </c>
      <c r="D189" s="6" t="s">
        <v>321</v>
      </c>
      <c r="E189" s="6" t="s">
        <v>18</v>
      </c>
      <c r="F189" s="45">
        <v>857.72413793103453</v>
      </c>
      <c r="G189" s="6" t="s">
        <v>177</v>
      </c>
      <c r="H189" s="6"/>
      <c r="I189" s="65" t="s">
        <v>83</v>
      </c>
    </row>
    <row r="190" spans="1:9" ht="15.75" x14ac:dyDescent="0.25">
      <c r="A190" s="6" t="s">
        <v>33</v>
      </c>
      <c r="B190" s="5">
        <v>45393</v>
      </c>
      <c r="C190" s="6" t="s">
        <v>346</v>
      </c>
      <c r="D190" s="6" t="s">
        <v>347</v>
      </c>
      <c r="E190" s="6" t="s">
        <v>10</v>
      </c>
      <c r="F190" s="45">
        <v>1465.5172413793105</v>
      </c>
      <c r="G190" s="6" t="s">
        <v>8</v>
      </c>
      <c r="H190" s="6"/>
      <c r="I190" s="65" t="s">
        <v>83</v>
      </c>
    </row>
    <row r="191" spans="1:9" ht="15.75" x14ac:dyDescent="0.25">
      <c r="A191" s="6" t="s">
        <v>33</v>
      </c>
      <c r="B191" s="5">
        <v>45393</v>
      </c>
      <c r="C191" s="6" t="s">
        <v>348</v>
      </c>
      <c r="D191" s="6" t="s">
        <v>14</v>
      </c>
      <c r="E191" s="6" t="s">
        <v>16</v>
      </c>
      <c r="F191" s="45">
        <v>1781.0000000000002</v>
      </c>
      <c r="G191" s="6" t="s">
        <v>15</v>
      </c>
      <c r="H191" s="6"/>
      <c r="I191" s="65" t="s">
        <v>83</v>
      </c>
    </row>
    <row r="192" spans="1:9" ht="15.75" x14ac:dyDescent="0.25">
      <c r="A192" s="6" t="s">
        <v>33</v>
      </c>
      <c r="B192" s="5">
        <v>45393</v>
      </c>
      <c r="C192" s="6" t="s">
        <v>349</v>
      </c>
      <c r="D192" s="6" t="s">
        <v>14</v>
      </c>
      <c r="E192" s="6" t="s">
        <v>18</v>
      </c>
      <c r="F192" s="45">
        <v>775.86206896551732</v>
      </c>
      <c r="G192" s="6" t="s">
        <v>8</v>
      </c>
      <c r="H192" s="6"/>
      <c r="I192" s="65" t="s">
        <v>83</v>
      </c>
    </row>
    <row r="193" spans="1:9" ht="15.75" x14ac:dyDescent="0.25">
      <c r="A193" s="6" t="s">
        <v>33</v>
      </c>
      <c r="B193" s="5">
        <v>45394</v>
      </c>
      <c r="C193" s="6" t="s">
        <v>350</v>
      </c>
      <c r="D193" s="6" t="s">
        <v>351</v>
      </c>
      <c r="E193" s="6" t="s">
        <v>11</v>
      </c>
      <c r="F193" s="45">
        <v>344.82758620689657</v>
      </c>
      <c r="G193" s="6" t="s">
        <v>15</v>
      </c>
      <c r="H193" s="6"/>
      <c r="I193" s="65" t="s">
        <v>83</v>
      </c>
    </row>
    <row r="194" spans="1:9" ht="15.75" x14ac:dyDescent="0.25">
      <c r="A194" s="6" t="s">
        <v>33</v>
      </c>
      <c r="B194" s="5">
        <v>45394</v>
      </c>
      <c r="C194" s="6" t="s">
        <v>352</v>
      </c>
      <c r="D194" s="6" t="s">
        <v>353</v>
      </c>
      <c r="E194" s="6" t="s">
        <v>10</v>
      </c>
      <c r="F194" s="45">
        <v>3879.3017241379312</v>
      </c>
      <c r="G194" s="6" t="s">
        <v>8</v>
      </c>
      <c r="H194" s="6"/>
      <c r="I194" s="65" t="s">
        <v>83</v>
      </c>
    </row>
    <row r="195" spans="1:9" ht="15.75" x14ac:dyDescent="0.25">
      <c r="A195" s="6" t="s">
        <v>33</v>
      </c>
      <c r="B195" s="5">
        <v>45395</v>
      </c>
      <c r="C195" s="6" t="s">
        <v>354</v>
      </c>
      <c r="D195" s="6" t="s">
        <v>355</v>
      </c>
      <c r="E195" s="6" t="s">
        <v>23</v>
      </c>
      <c r="F195" s="45">
        <v>24000</v>
      </c>
      <c r="G195" s="6" t="s">
        <v>13</v>
      </c>
      <c r="H195" s="6" t="s">
        <v>39</v>
      </c>
      <c r="I195" s="65" t="s">
        <v>83</v>
      </c>
    </row>
    <row r="196" spans="1:9" ht="15.75" x14ac:dyDescent="0.25">
      <c r="A196" s="6" t="s">
        <v>33</v>
      </c>
      <c r="B196" s="5">
        <v>45395</v>
      </c>
      <c r="C196" s="6" t="s">
        <v>356</v>
      </c>
      <c r="D196" s="6" t="s">
        <v>14</v>
      </c>
      <c r="E196" s="6" t="s">
        <v>10</v>
      </c>
      <c r="F196" s="45">
        <v>129.31034482758622</v>
      </c>
      <c r="G196" s="6" t="s">
        <v>8</v>
      </c>
      <c r="H196" s="6"/>
      <c r="I196" s="65" t="s">
        <v>83</v>
      </c>
    </row>
    <row r="197" spans="1:9" ht="15.75" x14ac:dyDescent="0.25">
      <c r="A197" s="6" t="s">
        <v>33</v>
      </c>
      <c r="B197" s="5">
        <v>45395</v>
      </c>
      <c r="C197" s="6" t="s">
        <v>357</v>
      </c>
      <c r="D197" s="6" t="s">
        <v>14</v>
      </c>
      <c r="E197" s="6" t="s">
        <v>20</v>
      </c>
      <c r="F197" s="45">
        <v>3103.4482758620693</v>
      </c>
      <c r="G197" s="6" t="s">
        <v>8</v>
      </c>
      <c r="H197" s="6" t="s">
        <v>44</v>
      </c>
      <c r="I197" s="65" t="s">
        <v>83</v>
      </c>
    </row>
    <row r="198" spans="1:9" ht="15.75" x14ac:dyDescent="0.25">
      <c r="A198" s="6" t="s">
        <v>33</v>
      </c>
      <c r="B198" s="5">
        <v>45395</v>
      </c>
      <c r="C198" s="6" t="s">
        <v>358</v>
      </c>
      <c r="D198" s="6" t="s">
        <v>14</v>
      </c>
      <c r="E198" s="6" t="s">
        <v>10</v>
      </c>
      <c r="F198" s="45">
        <v>775.86206896551732</v>
      </c>
      <c r="G198" s="6" t="s">
        <v>8</v>
      </c>
      <c r="H198" s="6"/>
      <c r="I198" s="65" t="s">
        <v>83</v>
      </c>
    </row>
    <row r="199" spans="1:9" ht="15.75" x14ac:dyDescent="0.25">
      <c r="A199" s="6" t="s">
        <v>33</v>
      </c>
      <c r="B199" s="5">
        <v>45395</v>
      </c>
      <c r="C199" s="6" t="s">
        <v>359</v>
      </c>
      <c r="D199" s="6" t="s">
        <v>14</v>
      </c>
      <c r="E199" s="6" t="s">
        <v>16</v>
      </c>
      <c r="F199" s="45">
        <v>1350.8620689655174</v>
      </c>
      <c r="G199" s="6" t="s">
        <v>15</v>
      </c>
      <c r="H199" s="6"/>
      <c r="I199" s="65" t="s">
        <v>83</v>
      </c>
    </row>
    <row r="200" spans="1:9" ht="15.75" x14ac:dyDescent="0.25">
      <c r="A200" s="6" t="s">
        <v>33</v>
      </c>
      <c r="B200" s="5">
        <v>45397</v>
      </c>
      <c r="C200" s="6" t="s">
        <v>360</v>
      </c>
      <c r="D200" s="6" t="s">
        <v>14</v>
      </c>
      <c r="E200" s="6" t="s">
        <v>20</v>
      </c>
      <c r="F200" s="45">
        <v>7593.0862068965516</v>
      </c>
      <c r="G200" s="6" t="s">
        <v>34</v>
      </c>
      <c r="H200" s="6" t="s">
        <v>44</v>
      </c>
      <c r="I200" s="65" t="s">
        <v>83</v>
      </c>
    </row>
    <row r="201" spans="1:9" ht="15.75" x14ac:dyDescent="0.25">
      <c r="A201" s="6" t="s">
        <v>33</v>
      </c>
      <c r="B201" s="5">
        <v>45398</v>
      </c>
      <c r="C201" s="6" t="s">
        <v>361</v>
      </c>
      <c r="D201" s="6" t="s">
        <v>22</v>
      </c>
      <c r="E201" s="6" t="s">
        <v>9</v>
      </c>
      <c r="F201" s="45">
        <v>131.12068965517241</v>
      </c>
      <c r="G201" s="6" t="s">
        <v>34</v>
      </c>
      <c r="H201" s="6"/>
      <c r="I201" s="65" t="s">
        <v>83</v>
      </c>
    </row>
    <row r="202" spans="1:9" ht="15.75" x14ac:dyDescent="0.25">
      <c r="A202" s="6" t="s">
        <v>33</v>
      </c>
      <c r="B202" s="5">
        <v>45399</v>
      </c>
      <c r="C202" s="6" t="s">
        <v>362</v>
      </c>
      <c r="D202" s="6" t="s">
        <v>363</v>
      </c>
      <c r="E202" s="6" t="s">
        <v>11</v>
      </c>
      <c r="F202" s="45">
        <v>258.62068965517244</v>
      </c>
      <c r="G202" s="6" t="s">
        <v>15</v>
      </c>
      <c r="H202" s="6"/>
      <c r="I202" s="65" t="s">
        <v>83</v>
      </c>
    </row>
    <row r="203" spans="1:9" ht="15.75" x14ac:dyDescent="0.25">
      <c r="A203" s="6" t="s">
        <v>33</v>
      </c>
      <c r="B203" s="5">
        <v>45399</v>
      </c>
      <c r="C203" s="6" t="s">
        <v>364</v>
      </c>
      <c r="D203" s="6" t="s">
        <v>22</v>
      </c>
      <c r="E203" s="6" t="s">
        <v>18</v>
      </c>
      <c r="F203" s="45">
        <v>315</v>
      </c>
      <c r="G203" s="6" t="s">
        <v>34</v>
      </c>
      <c r="H203" s="6"/>
      <c r="I203" s="65" t="s">
        <v>83</v>
      </c>
    </row>
    <row r="204" spans="1:9" ht="15.75" x14ac:dyDescent="0.25">
      <c r="A204" s="6" t="s">
        <v>33</v>
      </c>
      <c r="B204" s="5">
        <v>45399</v>
      </c>
      <c r="C204" s="6" t="s">
        <v>365</v>
      </c>
      <c r="D204" s="6" t="s">
        <v>238</v>
      </c>
      <c r="E204" s="6" t="s">
        <v>18</v>
      </c>
      <c r="F204" s="45">
        <v>7149.0000000000009</v>
      </c>
      <c r="G204" s="6" t="s">
        <v>177</v>
      </c>
      <c r="H204" s="6"/>
      <c r="I204" s="65" t="s">
        <v>83</v>
      </c>
    </row>
    <row r="205" spans="1:9" ht="15.75" x14ac:dyDescent="0.25">
      <c r="A205" s="6" t="s">
        <v>33</v>
      </c>
      <c r="B205" s="5">
        <v>45399</v>
      </c>
      <c r="C205" s="6" t="s">
        <v>366</v>
      </c>
      <c r="D205" s="7" t="s">
        <v>367</v>
      </c>
      <c r="E205" s="6" t="s">
        <v>16</v>
      </c>
      <c r="F205" s="45">
        <v>3241</v>
      </c>
      <c r="G205" s="7" t="s">
        <v>15</v>
      </c>
      <c r="H205" s="6"/>
      <c r="I205" s="65" t="s">
        <v>83</v>
      </c>
    </row>
    <row r="206" spans="1:9" ht="15.75" x14ac:dyDescent="0.25">
      <c r="A206" s="6" t="s">
        <v>33</v>
      </c>
      <c r="B206" s="5">
        <v>45400</v>
      </c>
      <c r="C206" s="6" t="s">
        <v>368</v>
      </c>
      <c r="D206" s="6" t="s">
        <v>22</v>
      </c>
      <c r="E206" s="6"/>
      <c r="F206" s="45">
        <v>0</v>
      </c>
      <c r="G206" s="6"/>
      <c r="H206" s="6"/>
      <c r="I206" s="65" t="s">
        <v>83</v>
      </c>
    </row>
    <row r="207" spans="1:9" ht="15.75" x14ac:dyDescent="0.25">
      <c r="A207" s="6" t="s">
        <v>33</v>
      </c>
      <c r="B207" s="5">
        <v>45400</v>
      </c>
      <c r="C207" s="6" t="s">
        <v>369</v>
      </c>
      <c r="D207" s="6" t="s">
        <v>14</v>
      </c>
      <c r="E207" s="6" t="s">
        <v>16</v>
      </c>
      <c r="F207" s="45">
        <v>1188</v>
      </c>
      <c r="G207" s="6" t="s">
        <v>15</v>
      </c>
      <c r="H207" s="6"/>
      <c r="I207" s="65" t="s">
        <v>83</v>
      </c>
    </row>
    <row r="208" spans="1:9" ht="15.75" x14ac:dyDescent="0.25">
      <c r="A208" s="6" t="s">
        <v>33</v>
      </c>
      <c r="B208" s="5">
        <v>45404</v>
      </c>
      <c r="C208" s="6" t="s">
        <v>370</v>
      </c>
      <c r="D208" s="6" t="s">
        <v>22</v>
      </c>
      <c r="E208" s="6" t="s">
        <v>10</v>
      </c>
      <c r="F208" s="45">
        <v>5886.0000000000009</v>
      </c>
      <c r="G208" s="6" t="s">
        <v>34</v>
      </c>
      <c r="H208" s="6"/>
      <c r="I208" s="65" t="s">
        <v>83</v>
      </c>
    </row>
    <row r="209" spans="1:9" ht="15.75" x14ac:dyDescent="0.25">
      <c r="A209" s="6" t="s">
        <v>33</v>
      </c>
      <c r="B209" s="5">
        <v>45405</v>
      </c>
      <c r="C209" s="6" t="s">
        <v>371</v>
      </c>
      <c r="D209" s="6" t="s">
        <v>14</v>
      </c>
      <c r="E209" s="6" t="s">
        <v>16</v>
      </c>
      <c r="F209" s="45">
        <v>2188.8017241379312</v>
      </c>
      <c r="G209" s="6" t="s">
        <v>15</v>
      </c>
      <c r="H209" s="6"/>
      <c r="I209" s="65" t="s">
        <v>83</v>
      </c>
    </row>
    <row r="210" spans="1:9" ht="15.75" x14ac:dyDescent="0.25">
      <c r="A210" s="6" t="s">
        <v>33</v>
      </c>
      <c r="B210" s="5">
        <v>45405</v>
      </c>
      <c r="C210" s="6" t="s">
        <v>372</v>
      </c>
      <c r="D210" s="6" t="s">
        <v>14</v>
      </c>
      <c r="E210" s="6" t="s">
        <v>18</v>
      </c>
      <c r="F210" s="45">
        <v>129.31034482758622</v>
      </c>
      <c r="G210" s="6" t="s">
        <v>15</v>
      </c>
      <c r="H210" s="6"/>
      <c r="I210" s="65" t="s">
        <v>83</v>
      </c>
    </row>
    <row r="211" spans="1:9" ht="15.75" x14ac:dyDescent="0.25">
      <c r="A211" s="6" t="s">
        <v>33</v>
      </c>
      <c r="B211" s="5">
        <v>45405</v>
      </c>
      <c r="C211" s="6" t="s">
        <v>373</v>
      </c>
      <c r="D211" s="6" t="s">
        <v>14</v>
      </c>
      <c r="E211" s="6" t="s">
        <v>16</v>
      </c>
      <c r="F211" s="45">
        <v>1591</v>
      </c>
      <c r="G211" s="6" t="s">
        <v>15</v>
      </c>
      <c r="H211" s="6"/>
      <c r="I211" s="65" t="s">
        <v>83</v>
      </c>
    </row>
    <row r="212" spans="1:9" ht="15.75" x14ac:dyDescent="0.25">
      <c r="A212" s="6" t="s">
        <v>33</v>
      </c>
      <c r="B212" s="5">
        <v>45405</v>
      </c>
      <c r="C212" s="6" t="s">
        <v>374</v>
      </c>
      <c r="D212" s="6" t="s">
        <v>14</v>
      </c>
      <c r="E212" s="6" t="s">
        <v>16</v>
      </c>
      <c r="F212" s="45">
        <v>1306.0000000000002</v>
      </c>
      <c r="G212" s="6" t="s">
        <v>15</v>
      </c>
      <c r="H212" s="6"/>
      <c r="I212" s="65" t="s">
        <v>83</v>
      </c>
    </row>
    <row r="213" spans="1:9" ht="15.75" x14ac:dyDescent="0.25">
      <c r="A213" s="6" t="s">
        <v>33</v>
      </c>
      <c r="B213" s="5">
        <v>45405</v>
      </c>
      <c r="C213" s="6" t="s">
        <v>375</v>
      </c>
      <c r="D213" s="6" t="s">
        <v>376</v>
      </c>
      <c r="E213" s="6" t="s">
        <v>16</v>
      </c>
      <c r="F213" s="45">
        <v>620.68965517241384</v>
      </c>
      <c r="G213" s="6" t="s">
        <v>15</v>
      </c>
      <c r="H213" s="6"/>
      <c r="I213" s="65" t="s">
        <v>83</v>
      </c>
    </row>
    <row r="214" spans="1:9" ht="15.75" x14ac:dyDescent="0.25">
      <c r="A214" s="6" t="s">
        <v>33</v>
      </c>
      <c r="B214" s="5">
        <v>45407</v>
      </c>
      <c r="C214" s="6" t="s">
        <v>377</v>
      </c>
      <c r="D214" s="6" t="s">
        <v>14</v>
      </c>
      <c r="E214" s="6" t="s">
        <v>10</v>
      </c>
      <c r="F214" s="45">
        <v>4570.6724137931033</v>
      </c>
      <c r="G214" s="6" t="s">
        <v>8</v>
      </c>
      <c r="H214" s="6"/>
      <c r="I214" s="65" t="s">
        <v>83</v>
      </c>
    </row>
    <row r="215" spans="1:9" ht="15.75" x14ac:dyDescent="0.25">
      <c r="A215" s="6" t="s">
        <v>33</v>
      </c>
      <c r="B215" s="5">
        <v>45407</v>
      </c>
      <c r="C215" s="6" t="s">
        <v>378</v>
      </c>
      <c r="D215" s="6" t="s">
        <v>14</v>
      </c>
      <c r="E215" s="6" t="s">
        <v>10</v>
      </c>
      <c r="F215" s="45">
        <v>189.65517241379311</v>
      </c>
      <c r="G215" s="6" t="s">
        <v>8</v>
      </c>
      <c r="H215" s="6"/>
      <c r="I215" s="65" t="s">
        <v>83</v>
      </c>
    </row>
    <row r="216" spans="1:9" ht="15.75" x14ac:dyDescent="0.25">
      <c r="A216" s="6" t="s">
        <v>33</v>
      </c>
      <c r="B216" s="5">
        <v>45407</v>
      </c>
      <c r="C216" s="6" t="s">
        <v>379</v>
      </c>
      <c r="D216" s="6" t="s">
        <v>14</v>
      </c>
      <c r="E216" s="6" t="s">
        <v>11</v>
      </c>
      <c r="F216" s="45">
        <v>258.62068965517244</v>
      </c>
      <c r="G216" s="6" t="s">
        <v>15</v>
      </c>
      <c r="H216" s="6"/>
      <c r="I216" s="65" t="s">
        <v>83</v>
      </c>
    </row>
    <row r="217" spans="1:9" ht="15.75" x14ac:dyDescent="0.25">
      <c r="A217" s="6" t="s">
        <v>33</v>
      </c>
      <c r="B217" s="5">
        <v>45407</v>
      </c>
      <c r="C217" s="6" t="s">
        <v>380</v>
      </c>
      <c r="D217" s="6" t="s">
        <v>14</v>
      </c>
      <c r="E217" s="6" t="s">
        <v>16</v>
      </c>
      <c r="F217" s="45">
        <v>1002</v>
      </c>
      <c r="G217" s="6" t="s">
        <v>15</v>
      </c>
      <c r="H217" s="6"/>
      <c r="I217" s="65" t="s">
        <v>83</v>
      </c>
    </row>
    <row r="218" spans="1:9" ht="15.75" x14ac:dyDescent="0.25">
      <c r="A218" s="6" t="s">
        <v>33</v>
      </c>
      <c r="B218" s="5">
        <v>45407</v>
      </c>
      <c r="C218" s="6" t="s">
        <v>381</v>
      </c>
      <c r="D218" s="6" t="s">
        <v>14</v>
      </c>
      <c r="E218" s="6" t="s">
        <v>10</v>
      </c>
      <c r="F218" s="45">
        <v>215.51724137931035</v>
      </c>
      <c r="G218" s="6" t="s">
        <v>8</v>
      </c>
      <c r="H218" s="6"/>
      <c r="I218" s="65" t="s">
        <v>83</v>
      </c>
    </row>
    <row r="219" spans="1:9" ht="15.75" x14ac:dyDescent="0.25">
      <c r="A219" s="6" t="s">
        <v>33</v>
      </c>
      <c r="B219" s="5">
        <v>45407</v>
      </c>
      <c r="C219" s="6" t="s">
        <v>382</v>
      </c>
      <c r="D219" s="6" t="s">
        <v>14</v>
      </c>
      <c r="E219" s="6" t="s">
        <v>16</v>
      </c>
      <c r="F219" s="45">
        <v>4642.0000000000009</v>
      </c>
      <c r="G219" s="6" t="s">
        <v>15</v>
      </c>
      <c r="H219" s="6"/>
      <c r="I219" s="65" t="s">
        <v>83</v>
      </c>
    </row>
    <row r="220" spans="1:9" ht="15.75" x14ac:dyDescent="0.25">
      <c r="A220" s="6" t="s">
        <v>33</v>
      </c>
      <c r="B220" s="5">
        <v>45408</v>
      </c>
      <c r="C220" s="6" t="s">
        <v>383</v>
      </c>
      <c r="D220" s="6" t="s">
        <v>384</v>
      </c>
      <c r="E220" s="6" t="s">
        <v>27</v>
      </c>
      <c r="F220" s="45">
        <v>1500</v>
      </c>
      <c r="G220" s="6" t="s">
        <v>177</v>
      </c>
      <c r="H220" s="6"/>
      <c r="I220" s="65" t="s">
        <v>83</v>
      </c>
    </row>
    <row r="221" spans="1:9" ht="15.75" x14ac:dyDescent="0.25">
      <c r="A221" s="6" t="s">
        <v>33</v>
      </c>
      <c r="B221" s="5">
        <v>45408</v>
      </c>
      <c r="C221" s="6" t="s">
        <v>385</v>
      </c>
      <c r="D221" s="6" t="s">
        <v>386</v>
      </c>
      <c r="E221" s="6" t="s">
        <v>18</v>
      </c>
      <c r="F221" s="45">
        <v>810.34482758620697</v>
      </c>
      <c r="G221" s="6" t="s">
        <v>15</v>
      </c>
      <c r="H221" s="6"/>
      <c r="I221" s="65" t="s">
        <v>83</v>
      </c>
    </row>
    <row r="222" spans="1:9" ht="15.75" x14ac:dyDescent="0.25">
      <c r="A222" s="6" t="s">
        <v>33</v>
      </c>
      <c r="B222" s="5">
        <v>45408</v>
      </c>
      <c r="C222" s="6" t="s">
        <v>387</v>
      </c>
      <c r="D222" s="6" t="s">
        <v>388</v>
      </c>
      <c r="E222" s="6" t="s">
        <v>11</v>
      </c>
      <c r="F222" s="45">
        <v>258.62068965517244</v>
      </c>
      <c r="G222" s="6" t="s">
        <v>15</v>
      </c>
      <c r="H222" s="6"/>
      <c r="I222" s="65" t="s">
        <v>83</v>
      </c>
    </row>
    <row r="223" spans="1:9" ht="15.75" x14ac:dyDescent="0.25">
      <c r="A223" s="6" t="s">
        <v>33</v>
      </c>
      <c r="B223" s="5">
        <v>45408</v>
      </c>
      <c r="C223" s="6" t="s">
        <v>389</v>
      </c>
      <c r="D223" s="6" t="s">
        <v>14</v>
      </c>
      <c r="E223" s="6" t="s">
        <v>16</v>
      </c>
      <c r="F223" s="45">
        <v>3778</v>
      </c>
      <c r="G223" s="6" t="s">
        <v>15</v>
      </c>
      <c r="H223" s="6"/>
      <c r="I223" s="65" t="s">
        <v>83</v>
      </c>
    </row>
    <row r="224" spans="1:9" ht="15.75" x14ac:dyDescent="0.25">
      <c r="A224" s="6" t="s">
        <v>33</v>
      </c>
      <c r="B224" s="5">
        <v>45408</v>
      </c>
      <c r="C224" s="6" t="s">
        <v>390</v>
      </c>
      <c r="D224" s="6" t="s">
        <v>14</v>
      </c>
      <c r="E224" s="6" t="s">
        <v>10</v>
      </c>
      <c r="F224" s="45">
        <v>1465.5172413793105</v>
      </c>
      <c r="G224" s="6" t="s">
        <v>8</v>
      </c>
      <c r="H224" s="6"/>
      <c r="I224" s="65" t="s">
        <v>83</v>
      </c>
    </row>
    <row r="225" spans="1:9" ht="15.75" x14ac:dyDescent="0.25">
      <c r="A225" s="6" t="s">
        <v>33</v>
      </c>
      <c r="B225" s="5">
        <v>45409</v>
      </c>
      <c r="C225" s="6" t="s">
        <v>391</v>
      </c>
      <c r="D225" s="6" t="s">
        <v>14</v>
      </c>
      <c r="E225" s="6" t="s">
        <v>16</v>
      </c>
      <c r="F225" s="45">
        <v>2567</v>
      </c>
      <c r="G225" s="6" t="s">
        <v>15</v>
      </c>
      <c r="H225" s="6"/>
      <c r="I225" s="65" t="s">
        <v>83</v>
      </c>
    </row>
    <row r="226" spans="1:9" ht="15.75" x14ac:dyDescent="0.25">
      <c r="A226" s="6" t="s">
        <v>33</v>
      </c>
      <c r="B226" s="5">
        <v>45412</v>
      </c>
      <c r="C226" s="6" t="s">
        <v>392</v>
      </c>
      <c r="D226" s="6" t="s">
        <v>14</v>
      </c>
      <c r="E226" s="6" t="s">
        <v>10</v>
      </c>
      <c r="F226" s="45">
        <v>4183</v>
      </c>
      <c r="G226" s="6" t="s">
        <v>8</v>
      </c>
      <c r="H226" s="6"/>
      <c r="I226" s="65" t="s">
        <v>83</v>
      </c>
    </row>
    <row r="227" spans="1:9" ht="15.75" x14ac:dyDescent="0.25">
      <c r="A227" s="6" t="s">
        <v>33</v>
      </c>
      <c r="B227" s="5">
        <v>45412</v>
      </c>
      <c r="C227" s="6" t="s">
        <v>393</v>
      </c>
      <c r="D227" s="6" t="s">
        <v>14</v>
      </c>
      <c r="E227" s="6" t="s">
        <v>11</v>
      </c>
      <c r="F227" s="45">
        <v>258.62068965517244</v>
      </c>
      <c r="G227" s="6" t="s">
        <v>15</v>
      </c>
      <c r="H227" s="6"/>
      <c r="I227" s="65" t="s">
        <v>83</v>
      </c>
    </row>
    <row r="228" spans="1:9" ht="15.75" x14ac:dyDescent="0.25">
      <c r="A228" s="6" t="s">
        <v>33</v>
      </c>
      <c r="B228" s="5">
        <v>45412</v>
      </c>
      <c r="C228" s="6" t="s">
        <v>394</v>
      </c>
      <c r="D228" s="6" t="s">
        <v>395</v>
      </c>
      <c r="E228" s="6" t="s">
        <v>10</v>
      </c>
      <c r="F228" s="45">
        <v>310.34482758620692</v>
      </c>
      <c r="G228" s="6" t="s">
        <v>8</v>
      </c>
      <c r="H228" s="6"/>
      <c r="I228" s="65" t="s">
        <v>83</v>
      </c>
    </row>
    <row r="229" spans="1:9" ht="15.75" x14ac:dyDescent="0.25">
      <c r="A229" s="6" t="s">
        <v>33</v>
      </c>
      <c r="B229" s="5">
        <v>45414</v>
      </c>
      <c r="C229" s="6" t="s">
        <v>396</v>
      </c>
      <c r="D229" s="6" t="s">
        <v>25</v>
      </c>
      <c r="E229" s="6" t="s">
        <v>18</v>
      </c>
      <c r="F229" s="45">
        <v>301.72413793103448</v>
      </c>
      <c r="G229" s="6" t="s">
        <v>15</v>
      </c>
      <c r="H229" s="6"/>
      <c r="I229" s="65" t="s">
        <v>83</v>
      </c>
    </row>
    <row r="230" spans="1:9" ht="15.75" x14ac:dyDescent="0.25">
      <c r="A230" s="6" t="s">
        <v>33</v>
      </c>
      <c r="B230" s="5">
        <v>45419</v>
      </c>
      <c r="C230" s="6" t="s">
        <v>397</v>
      </c>
      <c r="D230" s="6" t="s">
        <v>88</v>
      </c>
      <c r="E230" s="6"/>
      <c r="F230" s="45">
        <v>0</v>
      </c>
      <c r="G230" s="6"/>
      <c r="H230" s="6"/>
      <c r="I230" s="65" t="s">
        <v>83</v>
      </c>
    </row>
    <row r="231" spans="1:9" ht="15.75" x14ac:dyDescent="0.25">
      <c r="A231" s="6" t="s">
        <v>33</v>
      </c>
      <c r="B231" s="5">
        <v>45427</v>
      </c>
      <c r="C231" s="6" t="s">
        <v>398</v>
      </c>
      <c r="D231" s="6" t="s">
        <v>46</v>
      </c>
      <c r="E231" s="6" t="s">
        <v>10</v>
      </c>
      <c r="F231" s="45">
        <v>2133.6206896551726</v>
      </c>
      <c r="G231" s="6" t="s">
        <v>8</v>
      </c>
      <c r="H231" s="6"/>
      <c r="I231" s="65" t="s">
        <v>83</v>
      </c>
    </row>
    <row r="232" spans="1:9" ht="15.75" x14ac:dyDescent="0.25">
      <c r="A232" s="6" t="s">
        <v>33</v>
      </c>
      <c r="B232" s="5">
        <v>45427</v>
      </c>
      <c r="C232" s="6" t="s">
        <v>399</v>
      </c>
      <c r="D232" s="6" t="s">
        <v>40</v>
      </c>
      <c r="E232" s="6" t="s">
        <v>10</v>
      </c>
      <c r="F232" s="45">
        <v>1724.1379310344828</v>
      </c>
      <c r="G232" s="6" t="s">
        <v>8</v>
      </c>
      <c r="H232" s="6"/>
      <c r="I232" s="65" t="s">
        <v>83</v>
      </c>
    </row>
    <row r="233" spans="1:9" ht="15.75" x14ac:dyDescent="0.25">
      <c r="A233" s="6" t="s">
        <v>33</v>
      </c>
      <c r="B233" s="5">
        <v>45427</v>
      </c>
      <c r="C233" s="6" t="s">
        <v>400</v>
      </c>
      <c r="D233" s="6" t="s">
        <v>401</v>
      </c>
      <c r="E233" s="6" t="s">
        <v>16</v>
      </c>
      <c r="F233" s="45">
        <v>836.20689655172418</v>
      </c>
      <c r="G233" s="6" t="s">
        <v>15</v>
      </c>
      <c r="H233" s="6"/>
      <c r="I233" s="65" t="s">
        <v>83</v>
      </c>
    </row>
    <row r="234" spans="1:9" ht="15.75" x14ac:dyDescent="0.25">
      <c r="A234" s="6" t="s">
        <v>33</v>
      </c>
      <c r="B234" s="5">
        <v>45427</v>
      </c>
      <c r="C234" s="6" t="s">
        <v>402</v>
      </c>
      <c r="D234" s="6" t="s">
        <v>30</v>
      </c>
      <c r="E234" s="6"/>
      <c r="F234" s="45">
        <v>0</v>
      </c>
      <c r="G234" s="6"/>
      <c r="H234" s="6"/>
      <c r="I234" s="65" t="s">
        <v>83</v>
      </c>
    </row>
    <row r="235" spans="1:9" ht="15.75" x14ac:dyDescent="0.25">
      <c r="A235" s="6" t="s">
        <v>33</v>
      </c>
      <c r="B235" s="5">
        <v>45427</v>
      </c>
      <c r="C235" s="6" t="s">
        <v>403</v>
      </c>
      <c r="D235" s="6" t="s">
        <v>404</v>
      </c>
      <c r="E235" s="6" t="s">
        <v>16</v>
      </c>
      <c r="F235" s="45">
        <v>1786.0000000000002</v>
      </c>
      <c r="G235" s="6" t="s">
        <v>15</v>
      </c>
      <c r="H235" s="6"/>
      <c r="I235" s="65" t="s">
        <v>83</v>
      </c>
    </row>
    <row r="236" spans="1:9" ht="15.75" x14ac:dyDescent="0.25">
      <c r="A236" s="6" t="s">
        <v>33</v>
      </c>
      <c r="B236" s="5">
        <v>45427</v>
      </c>
      <c r="C236" s="6" t="s">
        <v>405</v>
      </c>
      <c r="D236" s="6" t="s">
        <v>406</v>
      </c>
      <c r="E236" s="6" t="s">
        <v>10</v>
      </c>
      <c r="F236" s="45">
        <v>1034.4827586206898</v>
      </c>
      <c r="G236" s="6" t="s">
        <v>8</v>
      </c>
      <c r="H236" s="6"/>
      <c r="I236" s="65" t="s">
        <v>83</v>
      </c>
    </row>
    <row r="237" spans="1:9" ht="15.75" x14ac:dyDescent="0.25">
      <c r="A237" s="6" t="s">
        <v>33</v>
      </c>
      <c r="B237" s="5">
        <v>45427</v>
      </c>
      <c r="C237" s="6" t="s">
        <v>407</v>
      </c>
      <c r="D237" s="6" t="s">
        <v>408</v>
      </c>
      <c r="E237" s="6" t="s">
        <v>10</v>
      </c>
      <c r="F237" s="45">
        <v>129.31034482758622</v>
      </c>
      <c r="G237" s="6" t="s">
        <v>8</v>
      </c>
      <c r="H237" s="6"/>
      <c r="I237" s="65" t="s">
        <v>83</v>
      </c>
    </row>
    <row r="238" spans="1:9" ht="15.75" x14ac:dyDescent="0.25">
      <c r="A238" s="6" t="s">
        <v>33</v>
      </c>
      <c r="B238" s="5">
        <v>45427</v>
      </c>
      <c r="C238" s="6" t="s">
        <v>409</v>
      </c>
      <c r="D238" s="6" t="s">
        <v>21</v>
      </c>
      <c r="E238" s="6" t="s">
        <v>16</v>
      </c>
      <c r="F238" s="45">
        <v>3331.0000000000005</v>
      </c>
      <c r="G238" s="6" t="s">
        <v>15</v>
      </c>
      <c r="H238" s="6"/>
      <c r="I238" s="65" t="s">
        <v>83</v>
      </c>
    </row>
    <row r="239" spans="1:9" ht="15.75" x14ac:dyDescent="0.25">
      <c r="A239" s="6" t="s">
        <v>33</v>
      </c>
      <c r="B239" s="5">
        <v>45428</v>
      </c>
      <c r="C239" s="6" t="s">
        <v>410</v>
      </c>
      <c r="D239" s="6" t="s">
        <v>14</v>
      </c>
      <c r="E239" s="6" t="s">
        <v>10</v>
      </c>
      <c r="F239" s="45">
        <v>258.62068965517244</v>
      </c>
      <c r="G239" s="6" t="s">
        <v>8</v>
      </c>
      <c r="H239" s="6"/>
      <c r="I239" s="65" t="s">
        <v>83</v>
      </c>
    </row>
    <row r="240" spans="1:9" ht="15.75" x14ac:dyDescent="0.25">
      <c r="A240" s="6" t="s">
        <v>33</v>
      </c>
      <c r="B240" s="5">
        <v>45428</v>
      </c>
      <c r="C240" s="6" t="s">
        <v>411</v>
      </c>
      <c r="D240" s="6" t="s">
        <v>14</v>
      </c>
      <c r="E240" s="6" t="s">
        <v>18</v>
      </c>
      <c r="F240" s="45">
        <v>43.103448275862071</v>
      </c>
      <c r="G240" s="6" t="s">
        <v>15</v>
      </c>
      <c r="H240" s="6"/>
      <c r="I240" s="65" t="s">
        <v>83</v>
      </c>
    </row>
    <row r="241" spans="1:10" ht="15.75" x14ac:dyDescent="0.25">
      <c r="A241" s="6" t="s">
        <v>33</v>
      </c>
      <c r="B241" s="5">
        <v>45428</v>
      </c>
      <c r="C241" s="6" t="s">
        <v>412</v>
      </c>
      <c r="D241" s="6" t="s">
        <v>14</v>
      </c>
      <c r="E241" s="6" t="s">
        <v>10</v>
      </c>
      <c r="F241" s="45">
        <v>258.62068965517244</v>
      </c>
      <c r="G241" s="6" t="s">
        <v>8</v>
      </c>
      <c r="H241" s="6"/>
      <c r="I241" s="65" t="s">
        <v>83</v>
      </c>
    </row>
    <row r="242" spans="1:10" ht="15.75" x14ac:dyDescent="0.25">
      <c r="A242" s="6" t="s">
        <v>33</v>
      </c>
      <c r="B242" s="5">
        <v>45428</v>
      </c>
      <c r="C242" s="6" t="s">
        <v>413</v>
      </c>
      <c r="D242" s="7" t="s">
        <v>14</v>
      </c>
      <c r="E242" s="6" t="s">
        <v>10</v>
      </c>
      <c r="F242" s="45">
        <v>362.06896551724139</v>
      </c>
      <c r="G242" s="7" t="s">
        <v>8</v>
      </c>
      <c r="H242" s="6"/>
      <c r="I242" s="65" t="s">
        <v>83</v>
      </c>
    </row>
    <row r="243" spans="1:10" ht="15.75" x14ac:dyDescent="0.25">
      <c r="A243" s="6" t="s">
        <v>33</v>
      </c>
      <c r="B243" s="5">
        <v>45428</v>
      </c>
      <c r="C243" s="6" t="s">
        <v>414</v>
      </c>
      <c r="D243" s="6" t="s">
        <v>14</v>
      </c>
      <c r="E243" s="6" t="s">
        <v>11</v>
      </c>
      <c r="F243" s="45">
        <v>258.62068965517244</v>
      </c>
      <c r="G243" s="6" t="s">
        <v>15</v>
      </c>
      <c r="H243" s="6"/>
      <c r="I243" s="65" t="s">
        <v>83</v>
      </c>
    </row>
    <row r="244" spans="1:10" ht="15.75" x14ac:dyDescent="0.25">
      <c r="A244" s="6" t="s">
        <v>33</v>
      </c>
      <c r="B244" s="5">
        <v>45428</v>
      </c>
      <c r="C244" s="6" t="s">
        <v>415</v>
      </c>
      <c r="D244" s="6" t="s">
        <v>14</v>
      </c>
      <c r="E244" s="6" t="s">
        <v>11</v>
      </c>
      <c r="F244" s="45">
        <v>258.62068965517244</v>
      </c>
      <c r="G244" s="6" t="s">
        <v>15</v>
      </c>
      <c r="H244" s="6"/>
      <c r="I244" s="65" t="s">
        <v>83</v>
      </c>
    </row>
    <row r="245" spans="1:10" ht="15.75" x14ac:dyDescent="0.25">
      <c r="A245" s="6" t="s">
        <v>33</v>
      </c>
      <c r="B245" s="5">
        <v>45428</v>
      </c>
      <c r="C245" s="6" t="s">
        <v>416</v>
      </c>
      <c r="D245" s="6" t="s">
        <v>14</v>
      </c>
      <c r="E245" s="6" t="s">
        <v>16</v>
      </c>
      <c r="F245" s="45">
        <v>1520.0000000000002</v>
      </c>
      <c r="G245" s="6" t="s">
        <v>15</v>
      </c>
      <c r="H245" s="6"/>
      <c r="I245" s="65" t="s">
        <v>83</v>
      </c>
    </row>
    <row r="246" spans="1:10" ht="15.75" x14ac:dyDescent="0.25">
      <c r="A246" s="6" t="s">
        <v>33</v>
      </c>
      <c r="B246" s="5">
        <v>45428</v>
      </c>
      <c r="C246" s="6" t="s">
        <v>417</v>
      </c>
      <c r="D246" s="6" t="s">
        <v>14</v>
      </c>
      <c r="E246" s="6" t="s">
        <v>10</v>
      </c>
      <c r="F246" s="45">
        <v>387.93103448275866</v>
      </c>
      <c r="G246" s="6" t="s">
        <v>8</v>
      </c>
      <c r="H246" s="6"/>
      <c r="I246" s="65" t="s">
        <v>83</v>
      </c>
    </row>
    <row r="247" spans="1:10" ht="15.75" x14ac:dyDescent="0.25">
      <c r="A247" s="6" t="s">
        <v>33</v>
      </c>
      <c r="B247" s="5">
        <v>45428</v>
      </c>
      <c r="C247" s="6" t="s">
        <v>418</v>
      </c>
      <c r="D247" s="6" t="s">
        <v>14</v>
      </c>
      <c r="E247" s="6" t="s">
        <v>10</v>
      </c>
      <c r="F247" s="45">
        <v>1465.5172413793105</v>
      </c>
      <c r="G247" s="6" t="s">
        <v>8</v>
      </c>
      <c r="H247" s="6"/>
      <c r="I247" s="65" t="s">
        <v>83</v>
      </c>
    </row>
    <row r="248" spans="1:10" ht="15.75" x14ac:dyDescent="0.25">
      <c r="A248" s="6" t="s">
        <v>33</v>
      </c>
      <c r="B248" s="5">
        <v>45429</v>
      </c>
      <c r="C248" s="6" t="s">
        <v>419</v>
      </c>
      <c r="D248" s="6" t="s">
        <v>30</v>
      </c>
      <c r="E248" s="6"/>
      <c r="F248" s="45">
        <v>0</v>
      </c>
      <c r="G248" s="6"/>
      <c r="H248" s="6"/>
      <c r="I248" s="65" t="s">
        <v>83</v>
      </c>
    </row>
    <row r="249" spans="1:10" ht="15.75" x14ac:dyDescent="0.25">
      <c r="A249" s="6" t="s">
        <v>33</v>
      </c>
      <c r="B249" s="5">
        <v>45429</v>
      </c>
      <c r="C249" s="6" t="s">
        <v>420</v>
      </c>
      <c r="D249" s="6" t="s">
        <v>421</v>
      </c>
      <c r="E249" s="6" t="s">
        <v>16</v>
      </c>
      <c r="F249" s="45">
        <v>593.10344827586209</v>
      </c>
      <c r="G249" s="6" t="s">
        <v>15</v>
      </c>
      <c r="H249" s="6"/>
      <c r="I249" s="65" t="s">
        <v>83</v>
      </c>
    </row>
    <row r="250" spans="1:10" ht="15.75" x14ac:dyDescent="0.25">
      <c r="A250" s="6" t="s">
        <v>33</v>
      </c>
      <c r="B250" s="5">
        <v>45429</v>
      </c>
      <c r="C250" s="6" t="s">
        <v>422</v>
      </c>
      <c r="D250" s="6" t="s">
        <v>12</v>
      </c>
      <c r="E250" s="6" t="s">
        <v>10</v>
      </c>
      <c r="F250" s="45">
        <v>13398.000000000002</v>
      </c>
      <c r="G250" s="6" t="s">
        <v>423</v>
      </c>
      <c r="H250" s="6"/>
      <c r="I250" s="65" t="s">
        <v>83</v>
      </c>
    </row>
    <row r="251" spans="1:10" ht="15.75" x14ac:dyDescent="0.25">
      <c r="A251" s="6" t="s">
        <v>33</v>
      </c>
      <c r="B251" s="5">
        <v>45429</v>
      </c>
      <c r="C251" s="6" t="s">
        <v>424</v>
      </c>
      <c r="D251" s="6" t="s">
        <v>12</v>
      </c>
      <c r="E251" s="6" t="s">
        <v>23</v>
      </c>
      <c r="F251" s="45">
        <v>27000.000000000004</v>
      </c>
      <c r="G251" s="6" t="s">
        <v>13</v>
      </c>
      <c r="H251" s="6" t="s">
        <v>39</v>
      </c>
      <c r="I251" s="65" t="s">
        <v>83</v>
      </c>
    </row>
    <row r="252" spans="1:10" ht="15.75" x14ac:dyDescent="0.25">
      <c r="A252" s="6" t="s">
        <v>33</v>
      </c>
      <c r="B252" s="5">
        <v>45430</v>
      </c>
      <c r="C252" s="6" t="s">
        <v>425</v>
      </c>
      <c r="D252" s="6" t="s">
        <v>14</v>
      </c>
      <c r="E252" s="6" t="s">
        <v>16</v>
      </c>
      <c r="F252" s="45">
        <v>2242</v>
      </c>
      <c r="G252" s="6" t="s">
        <v>15</v>
      </c>
      <c r="H252" s="6"/>
      <c r="I252" s="65" t="s">
        <v>83</v>
      </c>
    </row>
    <row r="253" spans="1:10" ht="15.75" x14ac:dyDescent="0.25">
      <c r="A253" s="6" t="s">
        <v>33</v>
      </c>
      <c r="B253" s="5">
        <v>45432</v>
      </c>
      <c r="C253" s="6" t="s">
        <v>426</v>
      </c>
      <c r="D253" s="6" t="s">
        <v>427</v>
      </c>
      <c r="E253" s="6" t="s">
        <v>10</v>
      </c>
      <c r="F253" s="45">
        <v>172.41379310344828</v>
      </c>
      <c r="G253" s="6" t="s">
        <v>15</v>
      </c>
      <c r="H253" s="6"/>
      <c r="I253" s="65" t="s">
        <v>83</v>
      </c>
    </row>
    <row r="254" spans="1:10" ht="15.75" x14ac:dyDescent="0.25">
      <c r="A254" s="20" t="s">
        <v>33</v>
      </c>
      <c r="B254" s="19">
        <v>45432</v>
      </c>
      <c r="C254" s="20" t="s">
        <v>428</v>
      </c>
      <c r="D254" s="20" t="s">
        <v>22</v>
      </c>
      <c r="E254" s="20"/>
      <c r="F254" s="47">
        <v>98440</v>
      </c>
      <c r="G254" s="20" t="s">
        <v>47</v>
      </c>
      <c r="H254" s="20"/>
      <c r="I254" s="68" t="s">
        <v>83</v>
      </c>
      <c r="J254" s="8" t="s">
        <v>2040</v>
      </c>
    </row>
    <row r="255" spans="1:10" ht="15.75" x14ac:dyDescent="0.25">
      <c r="A255" s="6" t="s">
        <v>33</v>
      </c>
      <c r="B255" s="5">
        <v>45432</v>
      </c>
      <c r="C255" s="6" t="s">
        <v>429</v>
      </c>
      <c r="D255" s="6" t="s">
        <v>22</v>
      </c>
      <c r="E255" s="6"/>
      <c r="F255" s="45">
        <v>918.00000000000011</v>
      </c>
      <c r="G255" s="6" t="s">
        <v>34</v>
      </c>
      <c r="H255" s="6"/>
      <c r="I255" s="65" t="s">
        <v>83</v>
      </c>
    </row>
    <row r="256" spans="1:10" ht="15.75" x14ac:dyDescent="0.25">
      <c r="A256" s="20" t="s">
        <v>33</v>
      </c>
      <c r="B256" s="19">
        <v>45432</v>
      </c>
      <c r="C256" s="20" t="s">
        <v>430</v>
      </c>
      <c r="D256" s="20" t="s">
        <v>22</v>
      </c>
      <c r="E256" s="20"/>
      <c r="F256" s="47">
        <v>5556.120689655173</v>
      </c>
      <c r="G256" s="20" t="s">
        <v>47</v>
      </c>
      <c r="H256" s="20"/>
      <c r="I256" s="68" t="s">
        <v>83</v>
      </c>
      <c r="J256" s="8" t="s">
        <v>2041</v>
      </c>
    </row>
    <row r="257" spans="1:10" ht="15.75" x14ac:dyDescent="0.25">
      <c r="A257" s="6" t="s">
        <v>33</v>
      </c>
      <c r="B257" s="5">
        <v>45433</v>
      </c>
      <c r="C257" s="6" t="s">
        <v>431</v>
      </c>
      <c r="D257" s="6" t="s">
        <v>64</v>
      </c>
      <c r="E257" s="6"/>
      <c r="F257" s="46">
        <v>18650</v>
      </c>
      <c r="G257" s="6" t="s">
        <v>65</v>
      </c>
      <c r="H257" s="6"/>
      <c r="I257" s="65" t="s">
        <v>83</v>
      </c>
    </row>
    <row r="258" spans="1:10" ht="15.75" x14ac:dyDescent="0.25">
      <c r="A258" s="6" t="s">
        <v>33</v>
      </c>
      <c r="B258" s="5">
        <v>45433</v>
      </c>
      <c r="C258" s="6" t="s">
        <v>432</v>
      </c>
      <c r="D258" s="6" t="s">
        <v>433</v>
      </c>
      <c r="E258" s="6" t="s">
        <v>18</v>
      </c>
      <c r="F258" s="45">
        <v>1120.6896551724139</v>
      </c>
      <c r="G258" s="6" t="s">
        <v>8</v>
      </c>
      <c r="H258" s="6"/>
      <c r="I258" s="65" t="s">
        <v>83</v>
      </c>
    </row>
    <row r="259" spans="1:10" ht="15.75" x14ac:dyDescent="0.25">
      <c r="A259" s="20" t="s">
        <v>33</v>
      </c>
      <c r="B259" s="19">
        <v>45434</v>
      </c>
      <c r="C259" s="20" t="s">
        <v>434</v>
      </c>
      <c r="D259" s="20" t="s">
        <v>435</v>
      </c>
      <c r="E259" s="20" t="s">
        <v>16</v>
      </c>
      <c r="F259" s="47">
        <v>7616</v>
      </c>
      <c r="G259" s="20" t="s">
        <v>15</v>
      </c>
      <c r="H259" s="20"/>
      <c r="I259" s="68" t="s">
        <v>83</v>
      </c>
      <c r="J259" s="8" t="s">
        <v>2038</v>
      </c>
    </row>
    <row r="260" spans="1:10" ht="15.75" x14ac:dyDescent="0.25">
      <c r="A260" s="6" t="s">
        <v>33</v>
      </c>
      <c r="B260" s="5">
        <v>45434</v>
      </c>
      <c r="C260" s="6" t="s">
        <v>436</v>
      </c>
      <c r="D260" s="6" t="s">
        <v>19</v>
      </c>
      <c r="E260" s="6" t="s">
        <v>10</v>
      </c>
      <c r="F260" s="45">
        <v>8400</v>
      </c>
      <c r="G260" s="6" t="s">
        <v>13</v>
      </c>
      <c r="H260" s="6"/>
      <c r="I260" s="65" t="s">
        <v>83</v>
      </c>
    </row>
    <row r="261" spans="1:10" ht="15.75" x14ac:dyDescent="0.25">
      <c r="A261" s="6" t="s">
        <v>33</v>
      </c>
      <c r="B261" s="5">
        <v>45435</v>
      </c>
      <c r="C261" s="6" t="s">
        <v>437</v>
      </c>
      <c r="D261" s="6" t="s">
        <v>438</v>
      </c>
      <c r="E261" s="6" t="s">
        <v>16</v>
      </c>
      <c r="F261" s="45">
        <v>1746</v>
      </c>
      <c r="G261" s="6" t="s">
        <v>15</v>
      </c>
      <c r="H261" s="6"/>
      <c r="I261" s="65" t="s">
        <v>83</v>
      </c>
    </row>
    <row r="262" spans="1:10" ht="15.75" x14ac:dyDescent="0.25">
      <c r="A262" s="6" t="s">
        <v>33</v>
      </c>
      <c r="B262" s="5">
        <v>45435</v>
      </c>
      <c r="C262" s="6" t="s">
        <v>439</v>
      </c>
      <c r="D262" s="6" t="s">
        <v>440</v>
      </c>
      <c r="E262" s="6" t="s">
        <v>10</v>
      </c>
      <c r="F262" s="45">
        <v>1618.9741379310346</v>
      </c>
      <c r="G262" s="6" t="s">
        <v>8</v>
      </c>
      <c r="H262" s="6"/>
      <c r="I262" s="65" t="s">
        <v>83</v>
      </c>
    </row>
    <row r="263" spans="1:10" ht="15.75" x14ac:dyDescent="0.25">
      <c r="A263" s="6" t="s">
        <v>33</v>
      </c>
      <c r="B263" s="5">
        <v>45435</v>
      </c>
      <c r="C263" s="6" t="s">
        <v>441</v>
      </c>
      <c r="D263" s="7" t="s">
        <v>433</v>
      </c>
      <c r="E263" s="6" t="s">
        <v>18</v>
      </c>
      <c r="F263" s="45">
        <v>1120.6896551724139</v>
      </c>
      <c r="G263" s="7" t="s">
        <v>8</v>
      </c>
      <c r="H263" s="6"/>
      <c r="I263" s="65" t="s">
        <v>83</v>
      </c>
    </row>
    <row r="264" spans="1:10" ht="15.75" x14ac:dyDescent="0.25">
      <c r="A264" s="6" t="s">
        <v>33</v>
      </c>
      <c r="B264" s="5">
        <v>45436</v>
      </c>
      <c r="C264" s="6" t="s">
        <v>442</v>
      </c>
      <c r="D264" s="6" t="s">
        <v>443</v>
      </c>
      <c r="E264" s="6" t="s">
        <v>16</v>
      </c>
      <c r="F264" s="45">
        <v>1782</v>
      </c>
      <c r="G264" s="6" t="s">
        <v>15</v>
      </c>
      <c r="H264" s="6"/>
      <c r="I264" s="65" t="s">
        <v>83</v>
      </c>
    </row>
    <row r="265" spans="1:10" ht="15.75" x14ac:dyDescent="0.25">
      <c r="A265" s="6" t="s">
        <v>33</v>
      </c>
      <c r="B265" s="5">
        <v>45436</v>
      </c>
      <c r="C265" s="6" t="s">
        <v>444</v>
      </c>
      <c r="D265" s="6" t="s">
        <v>14</v>
      </c>
      <c r="E265" s="6" t="s">
        <v>16</v>
      </c>
      <c r="F265" s="45">
        <v>413.79310344827587</v>
      </c>
      <c r="G265" s="6" t="s">
        <v>15</v>
      </c>
      <c r="H265" s="6"/>
      <c r="I265" s="65" t="s">
        <v>83</v>
      </c>
    </row>
    <row r="266" spans="1:10" ht="15.75" x14ac:dyDescent="0.25">
      <c r="A266" s="6" t="s">
        <v>33</v>
      </c>
      <c r="B266" s="5">
        <v>45436</v>
      </c>
      <c r="C266" s="6" t="s">
        <v>445</v>
      </c>
      <c r="D266" s="6" t="s">
        <v>14</v>
      </c>
      <c r="E266" s="6" t="s">
        <v>16</v>
      </c>
      <c r="F266" s="45">
        <v>1316</v>
      </c>
      <c r="G266" s="6" t="s">
        <v>15</v>
      </c>
      <c r="H266" s="6"/>
      <c r="I266" s="65" t="s">
        <v>83</v>
      </c>
    </row>
    <row r="267" spans="1:10" ht="15.75" x14ac:dyDescent="0.25">
      <c r="A267" s="6" t="s">
        <v>33</v>
      </c>
      <c r="B267" s="5">
        <v>45436</v>
      </c>
      <c r="C267" s="6" t="s">
        <v>446</v>
      </c>
      <c r="D267" s="6" t="s">
        <v>14</v>
      </c>
      <c r="E267" s="6" t="s">
        <v>10</v>
      </c>
      <c r="F267" s="45">
        <v>474.13793103448279</v>
      </c>
      <c r="G267" s="6" t="s">
        <v>8</v>
      </c>
      <c r="H267" s="6"/>
      <c r="I267" s="65" t="s">
        <v>83</v>
      </c>
    </row>
    <row r="268" spans="1:10" ht="15.75" x14ac:dyDescent="0.25">
      <c r="A268" s="6" t="s">
        <v>33</v>
      </c>
      <c r="B268" s="5">
        <v>45436</v>
      </c>
      <c r="C268" s="6" t="s">
        <v>447</v>
      </c>
      <c r="D268" s="6" t="s">
        <v>14</v>
      </c>
      <c r="E268" s="6" t="s">
        <v>18</v>
      </c>
      <c r="F268" s="45">
        <v>215.51724137931035</v>
      </c>
      <c r="G268" s="6" t="s">
        <v>15</v>
      </c>
      <c r="H268" s="6"/>
      <c r="I268" s="65" t="s">
        <v>83</v>
      </c>
    </row>
    <row r="269" spans="1:10" ht="15.75" x14ac:dyDescent="0.25">
      <c r="A269" s="6" t="s">
        <v>33</v>
      </c>
      <c r="B269" s="5">
        <v>45436</v>
      </c>
      <c r="C269" s="6" t="s">
        <v>448</v>
      </c>
      <c r="D269" s="6" t="s">
        <v>14</v>
      </c>
      <c r="E269" s="6" t="s">
        <v>18</v>
      </c>
      <c r="F269" s="45">
        <v>1380</v>
      </c>
      <c r="G269" s="6" t="s">
        <v>15</v>
      </c>
      <c r="H269" s="6"/>
      <c r="I269" s="65" t="s">
        <v>83</v>
      </c>
    </row>
    <row r="270" spans="1:10" ht="15.75" x14ac:dyDescent="0.25">
      <c r="A270" s="6" t="s">
        <v>33</v>
      </c>
      <c r="B270" s="5">
        <v>45439</v>
      </c>
      <c r="C270" s="6" t="s">
        <v>449</v>
      </c>
      <c r="D270" s="6" t="s">
        <v>14</v>
      </c>
      <c r="E270" s="6" t="s">
        <v>16</v>
      </c>
      <c r="F270" s="45">
        <v>1232.7586206896553</v>
      </c>
      <c r="G270" s="6" t="s">
        <v>15</v>
      </c>
      <c r="H270" s="6"/>
      <c r="I270" s="65" t="s">
        <v>83</v>
      </c>
    </row>
    <row r="271" spans="1:10" ht="15.75" x14ac:dyDescent="0.25">
      <c r="A271" s="6" t="s">
        <v>33</v>
      </c>
      <c r="B271" s="5">
        <v>45439</v>
      </c>
      <c r="C271" s="6" t="s">
        <v>450</v>
      </c>
      <c r="D271" s="6" t="s">
        <v>451</v>
      </c>
      <c r="E271" s="6" t="s">
        <v>16</v>
      </c>
      <c r="F271" s="45">
        <v>7345.0000000000009</v>
      </c>
      <c r="G271" s="6" t="s">
        <v>15</v>
      </c>
      <c r="H271" s="6"/>
      <c r="I271" s="65" t="s">
        <v>83</v>
      </c>
    </row>
    <row r="272" spans="1:10" ht="15.75" x14ac:dyDescent="0.25">
      <c r="A272" s="6" t="s">
        <v>33</v>
      </c>
      <c r="B272" s="5">
        <v>45439</v>
      </c>
      <c r="C272" s="6" t="s">
        <v>452</v>
      </c>
      <c r="D272" s="6" t="s">
        <v>22</v>
      </c>
      <c r="E272" s="6"/>
      <c r="F272" s="45">
        <v>0</v>
      </c>
      <c r="G272" s="6"/>
      <c r="H272" s="6"/>
      <c r="I272" s="65" t="s">
        <v>83</v>
      </c>
    </row>
    <row r="273" spans="1:9" ht="15.75" x14ac:dyDescent="0.25">
      <c r="A273" s="6" t="s">
        <v>33</v>
      </c>
      <c r="B273" s="5">
        <v>45440</v>
      </c>
      <c r="C273" s="6" t="s">
        <v>453</v>
      </c>
      <c r="D273" s="6" t="s">
        <v>24</v>
      </c>
      <c r="E273" s="6" t="s">
        <v>10</v>
      </c>
      <c r="F273" s="45">
        <v>1810.3534482758623</v>
      </c>
      <c r="G273" s="6" t="s">
        <v>8</v>
      </c>
      <c r="H273" s="6"/>
      <c r="I273" s="65" t="s">
        <v>83</v>
      </c>
    </row>
    <row r="274" spans="1:9" ht="15.75" x14ac:dyDescent="0.25">
      <c r="A274" s="6" t="s">
        <v>33</v>
      </c>
      <c r="B274" s="5">
        <v>45440</v>
      </c>
      <c r="C274" s="6" t="s">
        <v>454</v>
      </c>
      <c r="D274" s="6" t="s">
        <v>22</v>
      </c>
      <c r="E274" s="6"/>
      <c r="F274" s="45">
        <v>397</v>
      </c>
      <c r="G274" s="6" t="s">
        <v>34</v>
      </c>
      <c r="H274" s="6"/>
      <c r="I274" s="65" t="s">
        <v>83</v>
      </c>
    </row>
    <row r="275" spans="1:9" ht="15.75" x14ac:dyDescent="0.25">
      <c r="A275" s="6" t="s">
        <v>33</v>
      </c>
      <c r="B275" s="5">
        <v>45440</v>
      </c>
      <c r="C275" s="6" t="s">
        <v>455</v>
      </c>
      <c r="D275" s="6" t="s">
        <v>22</v>
      </c>
      <c r="E275" s="6"/>
      <c r="F275" s="45">
        <v>396.00000000000006</v>
      </c>
      <c r="G275" s="6" t="s">
        <v>34</v>
      </c>
      <c r="H275" s="6"/>
      <c r="I275" s="65" t="s">
        <v>83</v>
      </c>
    </row>
    <row r="276" spans="1:9" ht="15.75" x14ac:dyDescent="0.25">
      <c r="A276" s="6" t="s">
        <v>33</v>
      </c>
      <c r="B276" s="5">
        <v>45440</v>
      </c>
      <c r="C276" s="6" t="s">
        <v>456</v>
      </c>
      <c r="D276" s="6" t="s">
        <v>14</v>
      </c>
      <c r="E276" s="6" t="s">
        <v>10</v>
      </c>
      <c r="F276" s="45">
        <v>1724.1379310344828</v>
      </c>
      <c r="G276" s="6" t="s">
        <v>8</v>
      </c>
      <c r="H276" s="6"/>
      <c r="I276" s="65" t="s">
        <v>83</v>
      </c>
    </row>
    <row r="277" spans="1:9" ht="15.75" x14ac:dyDescent="0.25">
      <c r="A277" s="6" t="s">
        <v>33</v>
      </c>
      <c r="B277" s="5">
        <v>45441</v>
      </c>
      <c r="C277" s="6" t="s">
        <v>457</v>
      </c>
      <c r="D277" s="6" t="s">
        <v>22</v>
      </c>
      <c r="E277" s="6"/>
      <c r="F277" s="45">
        <v>1021.8362068965517</v>
      </c>
      <c r="G277" s="6" t="s">
        <v>34</v>
      </c>
      <c r="H277" s="6"/>
      <c r="I277" s="65" t="s">
        <v>83</v>
      </c>
    </row>
    <row r="278" spans="1:9" ht="15.75" x14ac:dyDescent="0.25">
      <c r="A278" s="6" t="s">
        <v>33</v>
      </c>
      <c r="B278" s="5">
        <v>45441</v>
      </c>
      <c r="C278" s="6" t="s">
        <v>458</v>
      </c>
      <c r="D278" s="6" t="s">
        <v>14</v>
      </c>
      <c r="E278" s="6" t="s">
        <v>10</v>
      </c>
      <c r="F278" s="45">
        <v>487.19827586206895</v>
      </c>
      <c r="G278" s="6" t="s">
        <v>8</v>
      </c>
      <c r="H278" s="6"/>
      <c r="I278" s="65" t="s">
        <v>83</v>
      </c>
    </row>
    <row r="279" spans="1:9" ht="15.75" x14ac:dyDescent="0.25">
      <c r="A279" s="6" t="s">
        <v>33</v>
      </c>
      <c r="B279" s="5">
        <v>45441</v>
      </c>
      <c r="C279" s="6" t="s">
        <v>459</v>
      </c>
      <c r="D279" s="6" t="s">
        <v>14</v>
      </c>
      <c r="E279" s="6" t="s">
        <v>16</v>
      </c>
      <c r="F279" s="45">
        <v>2772</v>
      </c>
      <c r="G279" s="6" t="s">
        <v>15</v>
      </c>
      <c r="H279" s="6"/>
      <c r="I279" s="65" t="s">
        <v>83</v>
      </c>
    </row>
    <row r="280" spans="1:9" ht="15.75" x14ac:dyDescent="0.25">
      <c r="A280" s="6" t="s">
        <v>33</v>
      </c>
      <c r="B280" s="5">
        <v>45441</v>
      </c>
      <c r="C280" s="6" t="s">
        <v>460</v>
      </c>
      <c r="D280" s="6" t="s">
        <v>22</v>
      </c>
      <c r="E280" s="6"/>
      <c r="F280" s="45">
        <v>563.00000000000011</v>
      </c>
      <c r="G280" s="6" t="s">
        <v>34</v>
      </c>
      <c r="H280" s="6"/>
      <c r="I280" s="65" t="s">
        <v>83</v>
      </c>
    </row>
    <row r="281" spans="1:9" ht="15.75" x14ac:dyDescent="0.25">
      <c r="A281" s="6" t="s">
        <v>33</v>
      </c>
      <c r="B281" s="5">
        <v>45442</v>
      </c>
      <c r="C281" s="6" t="s">
        <v>461</v>
      </c>
      <c r="D281" s="6" t="s">
        <v>14</v>
      </c>
      <c r="E281" s="6" t="s">
        <v>20</v>
      </c>
      <c r="F281" s="45">
        <v>3103.4482758620693</v>
      </c>
      <c r="G281" s="6" t="s">
        <v>8</v>
      </c>
      <c r="H281" s="6" t="s">
        <v>44</v>
      </c>
      <c r="I281" s="65" t="s">
        <v>83</v>
      </c>
    </row>
    <row r="282" spans="1:9" ht="15.75" x14ac:dyDescent="0.25">
      <c r="A282" s="6" t="s">
        <v>33</v>
      </c>
      <c r="B282" s="5">
        <v>45442</v>
      </c>
      <c r="C282" s="6" t="s">
        <v>462</v>
      </c>
      <c r="D282" s="6" t="s">
        <v>30</v>
      </c>
      <c r="E282" s="6"/>
      <c r="F282" s="45">
        <v>0</v>
      </c>
      <c r="G282" s="6"/>
      <c r="H282" s="6"/>
      <c r="I282" s="65" t="s">
        <v>83</v>
      </c>
    </row>
    <row r="283" spans="1:9" ht="15.75" x14ac:dyDescent="0.25">
      <c r="A283" s="6" t="s">
        <v>33</v>
      </c>
      <c r="B283" s="5">
        <v>45443</v>
      </c>
      <c r="C283" s="6" t="s">
        <v>463</v>
      </c>
      <c r="D283" s="6" t="s">
        <v>464</v>
      </c>
      <c r="E283" s="6" t="s">
        <v>23</v>
      </c>
      <c r="F283" s="45">
        <v>29800.000000000004</v>
      </c>
      <c r="G283" s="6" t="s">
        <v>13</v>
      </c>
      <c r="H283" s="6" t="s">
        <v>66</v>
      </c>
      <c r="I283" s="65" t="s">
        <v>83</v>
      </c>
    </row>
    <row r="284" spans="1:9" ht="15.75" x14ac:dyDescent="0.25">
      <c r="A284" s="6" t="s">
        <v>33</v>
      </c>
      <c r="B284" s="5">
        <v>45443</v>
      </c>
      <c r="C284" s="6" t="s">
        <v>465</v>
      </c>
      <c r="D284" s="6" t="s">
        <v>14</v>
      </c>
      <c r="E284" s="6" t="s">
        <v>16</v>
      </c>
      <c r="F284" s="45">
        <v>1188</v>
      </c>
      <c r="G284" s="6" t="s">
        <v>15</v>
      </c>
      <c r="H284" s="6"/>
      <c r="I284" s="65" t="s">
        <v>83</v>
      </c>
    </row>
    <row r="285" spans="1:9" ht="15.75" x14ac:dyDescent="0.25">
      <c r="A285" s="6" t="s">
        <v>33</v>
      </c>
      <c r="B285" s="5">
        <v>45443</v>
      </c>
      <c r="C285" s="6" t="s">
        <v>466</v>
      </c>
      <c r="D285" s="6" t="s">
        <v>14</v>
      </c>
      <c r="E285" s="6" t="s">
        <v>16</v>
      </c>
      <c r="F285" s="45">
        <v>4327.5862068965516</v>
      </c>
      <c r="G285" s="6" t="s">
        <v>15</v>
      </c>
      <c r="H285" s="6"/>
      <c r="I285" s="65" t="s">
        <v>83</v>
      </c>
    </row>
    <row r="286" spans="1:9" ht="15.75" x14ac:dyDescent="0.25">
      <c r="A286" s="6" t="s">
        <v>33</v>
      </c>
      <c r="B286" s="5">
        <v>45443</v>
      </c>
      <c r="C286" s="6" t="s">
        <v>467</v>
      </c>
      <c r="D286" s="6" t="s">
        <v>468</v>
      </c>
      <c r="E286" s="6" t="s">
        <v>20</v>
      </c>
      <c r="F286" s="45">
        <v>3103.4482758620693</v>
      </c>
      <c r="G286" s="6" t="s">
        <v>8</v>
      </c>
      <c r="H286" s="6" t="s">
        <v>44</v>
      </c>
      <c r="I286" s="65" t="s">
        <v>83</v>
      </c>
    </row>
    <row r="287" spans="1:9" ht="15.75" x14ac:dyDescent="0.25">
      <c r="A287" s="6" t="s">
        <v>33</v>
      </c>
      <c r="B287" s="5">
        <v>45443</v>
      </c>
      <c r="C287" s="6" t="s">
        <v>469</v>
      </c>
      <c r="D287" s="6" t="s">
        <v>14</v>
      </c>
      <c r="E287" s="6" t="s">
        <v>20</v>
      </c>
      <c r="F287" s="45">
        <v>1982.7586206896553</v>
      </c>
      <c r="G287" s="6" t="s">
        <v>8</v>
      </c>
      <c r="H287" s="6" t="s">
        <v>250</v>
      </c>
      <c r="I287" s="65" t="s">
        <v>83</v>
      </c>
    </row>
    <row r="288" spans="1:9" ht="15.75" x14ac:dyDescent="0.25">
      <c r="A288" s="6" t="s">
        <v>33</v>
      </c>
      <c r="B288" s="5">
        <v>45443</v>
      </c>
      <c r="C288" s="6" t="s">
        <v>470</v>
      </c>
      <c r="D288" s="6" t="s">
        <v>14</v>
      </c>
      <c r="E288" s="6" t="s">
        <v>16</v>
      </c>
      <c r="F288" s="45">
        <v>2012.0000000000002</v>
      </c>
      <c r="G288" s="6" t="s">
        <v>15</v>
      </c>
      <c r="H288" s="6"/>
      <c r="I288" s="65" t="s">
        <v>83</v>
      </c>
    </row>
    <row r="289" spans="1:9" ht="15.75" x14ac:dyDescent="0.25">
      <c r="A289" s="6" t="s">
        <v>33</v>
      </c>
      <c r="B289" s="5">
        <v>45444</v>
      </c>
      <c r="C289" s="6" t="s">
        <v>471</v>
      </c>
      <c r="D289" s="6" t="s">
        <v>14</v>
      </c>
      <c r="E289" s="6" t="s">
        <v>16</v>
      </c>
      <c r="F289" s="45">
        <v>1574.1379310344828</v>
      </c>
      <c r="G289" s="6" t="s">
        <v>15</v>
      </c>
      <c r="H289" s="6"/>
      <c r="I289" s="65" t="s">
        <v>83</v>
      </c>
    </row>
    <row r="290" spans="1:9" ht="15.75" x14ac:dyDescent="0.25">
      <c r="A290" s="6" t="s">
        <v>33</v>
      </c>
      <c r="B290" s="5">
        <v>45446</v>
      </c>
      <c r="C290" s="6" t="s">
        <v>472</v>
      </c>
      <c r="D290" s="6" t="s">
        <v>14</v>
      </c>
      <c r="E290" s="6" t="s">
        <v>16</v>
      </c>
      <c r="F290" s="45">
        <v>2770</v>
      </c>
      <c r="G290" s="6" t="s">
        <v>15</v>
      </c>
      <c r="H290" s="6"/>
      <c r="I290" s="65" t="s">
        <v>83</v>
      </c>
    </row>
    <row r="291" spans="1:9" ht="15.75" x14ac:dyDescent="0.25">
      <c r="A291" s="6" t="s">
        <v>33</v>
      </c>
      <c r="B291" s="5">
        <v>45446</v>
      </c>
      <c r="C291" s="6" t="s">
        <v>473</v>
      </c>
      <c r="D291" s="6" t="s">
        <v>14</v>
      </c>
      <c r="E291" s="6" t="s">
        <v>10</v>
      </c>
      <c r="F291" s="45">
        <v>1465.5172413793105</v>
      </c>
      <c r="G291" s="6" t="s">
        <v>8</v>
      </c>
      <c r="H291" s="6"/>
      <c r="I291" s="65" t="s">
        <v>83</v>
      </c>
    </row>
    <row r="292" spans="1:9" ht="15.75" x14ac:dyDescent="0.25">
      <c r="A292" s="6" t="s">
        <v>33</v>
      </c>
      <c r="B292" s="5">
        <v>45446</v>
      </c>
      <c r="C292" s="6" t="s">
        <v>474</v>
      </c>
      <c r="D292" s="6" t="s">
        <v>14</v>
      </c>
      <c r="E292" s="6" t="s">
        <v>10</v>
      </c>
      <c r="F292" s="45">
        <v>1035</v>
      </c>
      <c r="G292" s="6" t="s">
        <v>8</v>
      </c>
      <c r="H292" s="6"/>
      <c r="I292" s="65" t="s">
        <v>83</v>
      </c>
    </row>
    <row r="293" spans="1:9" ht="15.75" x14ac:dyDescent="0.25">
      <c r="A293" s="6" t="s">
        <v>33</v>
      </c>
      <c r="B293" s="5">
        <v>45447</v>
      </c>
      <c r="C293" s="6" t="s">
        <v>475</v>
      </c>
      <c r="D293" s="6" t="s">
        <v>14</v>
      </c>
      <c r="E293" s="6" t="s">
        <v>9</v>
      </c>
      <c r="F293" s="45">
        <v>3362.0689655172414</v>
      </c>
      <c r="G293" s="6" t="s">
        <v>8</v>
      </c>
      <c r="H293" s="6"/>
      <c r="I293" s="65" t="s">
        <v>83</v>
      </c>
    </row>
    <row r="294" spans="1:9" ht="15.75" x14ac:dyDescent="0.25">
      <c r="A294" s="6" t="s">
        <v>33</v>
      </c>
      <c r="B294" s="5">
        <v>45448</v>
      </c>
      <c r="C294" s="6" t="s">
        <v>476</v>
      </c>
      <c r="D294" s="6" t="s">
        <v>22</v>
      </c>
      <c r="E294" s="6"/>
      <c r="F294" s="45">
        <v>0</v>
      </c>
      <c r="G294" s="6"/>
      <c r="H294" s="6"/>
      <c r="I294" s="65" t="s">
        <v>83</v>
      </c>
    </row>
    <row r="295" spans="1:9" ht="15.75" x14ac:dyDescent="0.25">
      <c r="A295" s="6" t="s">
        <v>33</v>
      </c>
      <c r="B295" s="5">
        <v>45448</v>
      </c>
      <c r="C295" s="6" t="s">
        <v>477</v>
      </c>
      <c r="D295" s="6" t="s">
        <v>14</v>
      </c>
      <c r="E295" s="6" t="s">
        <v>16</v>
      </c>
      <c r="F295" s="45">
        <v>3692.0000000000005</v>
      </c>
      <c r="G295" s="6" t="s">
        <v>15</v>
      </c>
      <c r="H295" s="6"/>
      <c r="I295" s="65" t="s">
        <v>83</v>
      </c>
    </row>
    <row r="296" spans="1:9" ht="15.75" x14ac:dyDescent="0.25">
      <c r="A296" s="6" t="s">
        <v>33</v>
      </c>
      <c r="B296" s="5">
        <v>45448</v>
      </c>
      <c r="C296" s="6" t="s">
        <v>478</v>
      </c>
      <c r="D296" s="6" t="s">
        <v>14</v>
      </c>
      <c r="E296" s="6" t="s">
        <v>16</v>
      </c>
      <c r="F296" s="45">
        <v>1124</v>
      </c>
      <c r="G296" s="6" t="s">
        <v>15</v>
      </c>
      <c r="H296" s="6"/>
      <c r="I296" s="65" t="s">
        <v>83</v>
      </c>
    </row>
    <row r="297" spans="1:9" ht="15.75" x14ac:dyDescent="0.25">
      <c r="A297" s="6" t="s">
        <v>33</v>
      </c>
      <c r="B297" s="5">
        <v>45449</v>
      </c>
      <c r="C297" s="6" t="s">
        <v>479</v>
      </c>
      <c r="D297" s="6" t="s">
        <v>480</v>
      </c>
      <c r="E297" s="6" t="s">
        <v>10</v>
      </c>
      <c r="F297" s="45">
        <v>474.13793103448279</v>
      </c>
      <c r="G297" s="6" t="s">
        <v>8</v>
      </c>
      <c r="H297" s="6"/>
      <c r="I297" s="65" t="s">
        <v>83</v>
      </c>
    </row>
    <row r="298" spans="1:9" ht="15.75" x14ac:dyDescent="0.25">
      <c r="A298" s="6" t="s">
        <v>33</v>
      </c>
      <c r="B298" s="5">
        <v>45449</v>
      </c>
      <c r="C298" s="6" t="s">
        <v>481</v>
      </c>
      <c r="D298" s="6" t="s">
        <v>14</v>
      </c>
      <c r="E298" s="6" t="s">
        <v>16</v>
      </c>
      <c r="F298" s="45">
        <v>953.00000000000011</v>
      </c>
      <c r="G298" s="6" t="s">
        <v>15</v>
      </c>
      <c r="H298" s="6"/>
      <c r="I298" s="65" t="s">
        <v>83</v>
      </c>
    </row>
    <row r="299" spans="1:9" ht="15.75" x14ac:dyDescent="0.25">
      <c r="A299" s="6" t="s">
        <v>33</v>
      </c>
      <c r="B299" s="5">
        <v>45450</v>
      </c>
      <c r="C299" s="6" t="s">
        <v>482</v>
      </c>
      <c r="D299" s="6" t="s">
        <v>14</v>
      </c>
      <c r="E299" s="6" t="s">
        <v>10</v>
      </c>
      <c r="F299" s="45">
        <v>1465.5172413793105</v>
      </c>
      <c r="G299" s="6" t="s">
        <v>15</v>
      </c>
      <c r="H299" s="6"/>
      <c r="I299" s="65" t="s">
        <v>83</v>
      </c>
    </row>
    <row r="300" spans="1:9" ht="15.75" x14ac:dyDescent="0.25">
      <c r="A300" s="6" t="s">
        <v>33</v>
      </c>
      <c r="B300" s="5">
        <v>45450</v>
      </c>
      <c r="C300" s="6" t="s">
        <v>483</v>
      </c>
      <c r="D300" s="6" t="s">
        <v>22</v>
      </c>
      <c r="E300" s="6" t="s">
        <v>18</v>
      </c>
      <c r="F300" s="45">
        <v>3728</v>
      </c>
      <c r="G300" s="6" t="s">
        <v>34</v>
      </c>
      <c r="H300" s="6"/>
      <c r="I300" s="65" t="s">
        <v>83</v>
      </c>
    </row>
    <row r="301" spans="1:9" ht="15.75" x14ac:dyDescent="0.25">
      <c r="A301" s="6" t="s">
        <v>33</v>
      </c>
      <c r="B301" s="5">
        <v>45451</v>
      </c>
      <c r="C301" s="6" t="s">
        <v>484</v>
      </c>
      <c r="D301" s="6" t="s">
        <v>30</v>
      </c>
      <c r="E301" s="6"/>
      <c r="F301" s="45">
        <v>0</v>
      </c>
      <c r="G301" s="6"/>
      <c r="H301" s="6"/>
      <c r="I301" s="65" t="s">
        <v>83</v>
      </c>
    </row>
    <row r="302" spans="1:9" ht="15.75" x14ac:dyDescent="0.25">
      <c r="A302" s="6" t="s">
        <v>33</v>
      </c>
      <c r="B302" s="5">
        <v>45451</v>
      </c>
      <c r="C302" s="6" t="s">
        <v>485</v>
      </c>
      <c r="D302" s="7" t="s">
        <v>14</v>
      </c>
      <c r="E302" s="6" t="s">
        <v>16</v>
      </c>
      <c r="F302" s="45">
        <v>1373.0000000000002</v>
      </c>
      <c r="G302" s="7" t="s">
        <v>15</v>
      </c>
      <c r="H302" s="6"/>
      <c r="I302" s="65" t="s">
        <v>83</v>
      </c>
    </row>
    <row r="303" spans="1:9" ht="15.75" x14ac:dyDescent="0.25">
      <c r="A303" s="6" t="s">
        <v>33</v>
      </c>
      <c r="B303" s="5">
        <v>45451</v>
      </c>
      <c r="C303" s="6" t="s">
        <v>486</v>
      </c>
      <c r="D303" s="6" t="s">
        <v>14</v>
      </c>
      <c r="E303" s="6" t="s">
        <v>16</v>
      </c>
      <c r="F303" s="45">
        <v>3268.0000000000005</v>
      </c>
      <c r="G303" s="6" t="s">
        <v>15</v>
      </c>
      <c r="H303" s="6"/>
      <c r="I303" s="65" t="s">
        <v>83</v>
      </c>
    </row>
    <row r="304" spans="1:9" ht="15.75" x14ac:dyDescent="0.25">
      <c r="A304" s="6" t="s">
        <v>33</v>
      </c>
      <c r="B304" s="5">
        <v>45453</v>
      </c>
      <c r="C304" s="6" t="s">
        <v>487</v>
      </c>
      <c r="D304" s="6" t="s">
        <v>14</v>
      </c>
      <c r="E304" s="6" t="s">
        <v>16</v>
      </c>
      <c r="F304" s="45">
        <v>2350</v>
      </c>
      <c r="G304" s="6" t="s">
        <v>15</v>
      </c>
      <c r="H304" s="6"/>
      <c r="I304" s="65" t="s">
        <v>83</v>
      </c>
    </row>
    <row r="305" spans="1:10" ht="15.75" x14ac:dyDescent="0.25">
      <c r="A305" s="6" t="s">
        <v>33</v>
      </c>
      <c r="B305" s="5">
        <v>45454</v>
      </c>
      <c r="C305" s="6" t="s">
        <v>488</v>
      </c>
      <c r="D305" s="6" t="s">
        <v>45</v>
      </c>
      <c r="E305" s="6" t="s">
        <v>20</v>
      </c>
      <c r="F305" s="45">
        <v>1724.1379310344828</v>
      </c>
      <c r="G305" s="6" t="s">
        <v>13</v>
      </c>
      <c r="H305" s="6" t="s">
        <v>50</v>
      </c>
      <c r="I305" s="65" t="s">
        <v>83</v>
      </c>
    </row>
    <row r="306" spans="1:10" ht="15.75" x14ac:dyDescent="0.25">
      <c r="A306" s="20" t="s">
        <v>33</v>
      </c>
      <c r="B306" s="19">
        <v>45454</v>
      </c>
      <c r="C306" s="20" t="s">
        <v>489</v>
      </c>
      <c r="D306" s="20" t="s">
        <v>22</v>
      </c>
      <c r="E306" s="20" t="s">
        <v>18</v>
      </c>
      <c r="F306" s="47">
        <v>1576.7241379310346</v>
      </c>
      <c r="G306" s="20" t="s">
        <v>34</v>
      </c>
      <c r="H306" s="20"/>
      <c r="I306" s="68" t="s">
        <v>83</v>
      </c>
      <c r="J306" s="8" t="s">
        <v>2043</v>
      </c>
    </row>
    <row r="307" spans="1:10" ht="15.75" x14ac:dyDescent="0.25">
      <c r="A307" s="6" t="s">
        <v>33</v>
      </c>
      <c r="B307" s="5">
        <v>45454</v>
      </c>
      <c r="C307" s="6" t="s">
        <v>490</v>
      </c>
      <c r="D307" s="6" t="s">
        <v>14</v>
      </c>
      <c r="E307" s="6" t="s">
        <v>16</v>
      </c>
      <c r="F307" s="45">
        <v>4468.1034482758623</v>
      </c>
      <c r="G307" s="6" t="s">
        <v>15</v>
      </c>
      <c r="H307" s="6"/>
      <c r="I307" s="65" t="s">
        <v>83</v>
      </c>
    </row>
    <row r="308" spans="1:10" ht="15.75" x14ac:dyDescent="0.25">
      <c r="A308" s="6" t="s">
        <v>33</v>
      </c>
      <c r="B308" s="5">
        <v>45454</v>
      </c>
      <c r="C308" s="6" t="s">
        <v>491</v>
      </c>
      <c r="D308" s="6" t="s">
        <v>22</v>
      </c>
      <c r="E308" s="6"/>
      <c r="F308" s="45">
        <v>0</v>
      </c>
      <c r="G308" s="6"/>
      <c r="H308" s="6"/>
      <c r="I308" s="65" t="s">
        <v>83</v>
      </c>
    </row>
    <row r="309" spans="1:10" ht="15.75" x14ac:dyDescent="0.25">
      <c r="A309" s="6" t="s">
        <v>33</v>
      </c>
      <c r="B309" s="5">
        <v>45455</v>
      </c>
      <c r="C309" s="6" t="s">
        <v>492</v>
      </c>
      <c r="D309" s="6" t="s">
        <v>14</v>
      </c>
      <c r="E309" s="6" t="s">
        <v>20</v>
      </c>
      <c r="F309" s="45">
        <v>2931.8965517241381</v>
      </c>
      <c r="G309" s="6" t="s">
        <v>49</v>
      </c>
      <c r="H309" s="6" t="s">
        <v>493</v>
      </c>
      <c r="I309" s="65" t="s">
        <v>83</v>
      </c>
    </row>
    <row r="310" spans="1:10" ht="15.75" x14ac:dyDescent="0.25">
      <c r="A310" s="6" t="s">
        <v>33</v>
      </c>
      <c r="B310" s="5">
        <v>45455</v>
      </c>
      <c r="C310" s="6" t="s">
        <v>494</v>
      </c>
      <c r="D310" s="6" t="s">
        <v>14</v>
      </c>
      <c r="E310" s="6" t="s">
        <v>16</v>
      </c>
      <c r="F310" s="45">
        <v>1429.0000000000002</v>
      </c>
      <c r="G310" s="6" t="s">
        <v>15</v>
      </c>
      <c r="H310" s="6"/>
      <c r="I310" s="65" t="s">
        <v>83</v>
      </c>
    </row>
    <row r="311" spans="1:10" ht="15.75" x14ac:dyDescent="0.25">
      <c r="A311" s="6" t="s">
        <v>33</v>
      </c>
      <c r="B311" s="5">
        <v>45456</v>
      </c>
      <c r="C311" s="6" t="s">
        <v>495</v>
      </c>
      <c r="D311" s="6" t="s">
        <v>496</v>
      </c>
      <c r="E311" s="6" t="s">
        <v>23</v>
      </c>
      <c r="F311" s="45">
        <v>24000</v>
      </c>
      <c r="G311" s="6" t="s">
        <v>13</v>
      </c>
      <c r="H311" s="6" t="s">
        <v>39</v>
      </c>
      <c r="I311" s="65" t="s">
        <v>83</v>
      </c>
    </row>
    <row r="312" spans="1:10" ht="15.75" x14ac:dyDescent="0.25">
      <c r="A312" s="6" t="s">
        <v>33</v>
      </c>
      <c r="B312" s="5">
        <v>45456</v>
      </c>
      <c r="C312" s="6" t="s">
        <v>497</v>
      </c>
      <c r="D312" s="6" t="s">
        <v>14</v>
      </c>
      <c r="E312" s="6" t="s">
        <v>16</v>
      </c>
      <c r="F312" s="45">
        <v>3742.0000000000005</v>
      </c>
      <c r="G312" s="6" t="s">
        <v>15</v>
      </c>
      <c r="H312" s="6"/>
      <c r="I312" s="65" t="s">
        <v>83</v>
      </c>
    </row>
    <row r="313" spans="1:10" ht="15.75" x14ac:dyDescent="0.25">
      <c r="A313" s="6" t="s">
        <v>33</v>
      </c>
      <c r="B313" s="5">
        <v>45456</v>
      </c>
      <c r="C313" s="6" t="s">
        <v>498</v>
      </c>
      <c r="D313" s="6" t="s">
        <v>499</v>
      </c>
      <c r="E313" s="6" t="s">
        <v>16</v>
      </c>
      <c r="F313" s="45">
        <v>1070</v>
      </c>
      <c r="G313" s="6" t="s">
        <v>15</v>
      </c>
      <c r="H313" s="6"/>
      <c r="I313" s="65" t="s">
        <v>83</v>
      </c>
    </row>
    <row r="314" spans="1:10" ht="15.75" x14ac:dyDescent="0.25">
      <c r="A314" s="6" t="s">
        <v>33</v>
      </c>
      <c r="B314" s="5">
        <v>45457</v>
      </c>
      <c r="C314" s="6" t="s">
        <v>500</v>
      </c>
      <c r="D314" s="6" t="s">
        <v>14</v>
      </c>
      <c r="E314" s="6" t="s">
        <v>18</v>
      </c>
      <c r="F314" s="45">
        <v>810.35344827586209</v>
      </c>
      <c r="G314" s="6" t="s">
        <v>15</v>
      </c>
      <c r="H314" s="6"/>
      <c r="I314" s="65" t="s">
        <v>83</v>
      </c>
    </row>
    <row r="315" spans="1:10" ht="15.75" x14ac:dyDescent="0.25">
      <c r="A315" s="6" t="s">
        <v>33</v>
      </c>
      <c r="B315" s="5">
        <v>45457</v>
      </c>
      <c r="C315" s="6" t="s">
        <v>501</v>
      </c>
      <c r="D315" s="6" t="s">
        <v>14</v>
      </c>
      <c r="E315" s="6" t="s">
        <v>10</v>
      </c>
      <c r="F315" s="45">
        <v>258.66379310344831</v>
      </c>
      <c r="G315" s="6" t="s">
        <v>8</v>
      </c>
      <c r="H315" s="6"/>
      <c r="I315" s="65" t="s">
        <v>83</v>
      </c>
    </row>
    <row r="316" spans="1:10" ht="15.75" x14ac:dyDescent="0.25">
      <c r="A316" s="6" t="s">
        <v>33</v>
      </c>
      <c r="B316" s="5">
        <v>45457</v>
      </c>
      <c r="C316" s="6" t="s">
        <v>502</v>
      </c>
      <c r="D316" s="6" t="s">
        <v>496</v>
      </c>
      <c r="E316" s="6" t="s">
        <v>10</v>
      </c>
      <c r="F316" s="45">
        <v>3850.0000000000005</v>
      </c>
      <c r="G316" s="6" t="s">
        <v>13</v>
      </c>
      <c r="H316" s="6"/>
      <c r="I316" s="65" t="s">
        <v>83</v>
      </c>
    </row>
    <row r="317" spans="1:10" ht="15.75" x14ac:dyDescent="0.25">
      <c r="A317" s="6" t="s">
        <v>33</v>
      </c>
      <c r="B317" s="5">
        <v>45460</v>
      </c>
      <c r="C317" s="6" t="s">
        <v>503</v>
      </c>
      <c r="D317" s="6" t="s">
        <v>504</v>
      </c>
      <c r="E317" s="6" t="s">
        <v>10</v>
      </c>
      <c r="F317" s="45">
        <v>1594.8275862068967</v>
      </c>
      <c r="G317" s="6" t="s">
        <v>8</v>
      </c>
      <c r="H317" s="6"/>
      <c r="I317" s="65" t="s">
        <v>83</v>
      </c>
    </row>
    <row r="318" spans="1:10" ht="15.75" x14ac:dyDescent="0.25">
      <c r="A318" s="6" t="s">
        <v>33</v>
      </c>
      <c r="B318" s="5">
        <v>45460</v>
      </c>
      <c r="C318" s="6" t="s">
        <v>505</v>
      </c>
      <c r="D318" s="6" t="s">
        <v>384</v>
      </c>
      <c r="E318" s="6" t="s">
        <v>16</v>
      </c>
      <c r="F318" s="45">
        <v>1600</v>
      </c>
      <c r="G318" s="6" t="s">
        <v>177</v>
      </c>
      <c r="H318" s="6"/>
      <c r="I318" s="65" t="s">
        <v>83</v>
      </c>
    </row>
    <row r="319" spans="1:10" ht="15.75" x14ac:dyDescent="0.25">
      <c r="A319" s="6" t="s">
        <v>33</v>
      </c>
      <c r="B319" s="5">
        <v>45461</v>
      </c>
      <c r="C319" s="6" t="s">
        <v>506</v>
      </c>
      <c r="D319" s="6" t="s">
        <v>38</v>
      </c>
      <c r="E319" s="6" t="s">
        <v>16</v>
      </c>
      <c r="F319" s="45">
        <v>3940</v>
      </c>
      <c r="G319" s="6" t="s">
        <v>13</v>
      </c>
      <c r="H319" s="6"/>
      <c r="I319" s="65" t="s">
        <v>83</v>
      </c>
    </row>
    <row r="320" spans="1:10" ht="15.75" x14ac:dyDescent="0.25">
      <c r="A320" s="6" t="s">
        <v>33</v>
      </c>
      <c r="B320" s="5">
        <v>45461</v>
      </c>
      <c r="C320" s="6" t="s">
        <v>507</v>
      </c>
      <c r="D320" s="6" t="s">
        <v>14</v>
      </c>
      <c r="E320" s="6" t="s">
        <v>11</v>
      </c>
      <c r="F320" s="45">
        <v>258.62068965517244</v>
      </c>
      <c r="G320" s="6" t="s">
        <v>15</v>
      </c>
      <c r="H320" s="6"/>
      <c r="I320" s="65" t="s">
        <v>83</v>
      </c>
    </row>
    <row r="321" spans="1:10" ht="15.75" x14ac:dyDescent="0.25">
      <c r="A321" s="6" t="s">
        <v>33</v>
      </c>
      <c r="B321" s="5">
        <v>45461</v>
      </c>
      <c r="C321" s="6" t="s">
        <v>508</v>
      </c>
      <c r="D321" s="6" t="s">
        <v>14</v>
      </c>
      <c r="E321" s="6" t="s">
        <v>16</v>
      </c>
      <c r="F321" s="45">
        <v>302.27586206896552</v>
      </c>
      <c r="G321" s="6" t="s">
        <v>15</v>
      </c>
      <c r="H321" s="6"/>
      <c r="I321" s="65" t="s">
        <v>83</v>
      </c>
    </row>
    <row r="322" spans="1:10" ht="15.75" x14ac:dyDescent="0.25">
      <c r="A322" s="6" t="s">
        <v>33</v>
      </c>
      <c r="B322" s="5">
        <v>45461</v>
      </c>
      <c r="C322" s="6" t="s">
        <v>509</v>
      </c>
      <c r="D322" s="6" t="s">
        <v>14</v>
      </c>
      <c r="E322" s="6" t="s">
        <v>16</v>
      </c>
      <c r="F322" s="45">
        <v>1118.0000000000002</v>
      </c>
      <c r="G322" s="6" t="s">
        <v>15</v>
      </c>
      <c r="H322" s="6"/>
      <c r="I322" s="65" t="s">
        <v>83</v>
      </c>
    </row>
    <row r="323" spans="1:10" ht="15.75" x14ac:dyDescent="0.25">
      <c r="A323" s="6" t="s">
        <v>33</v>
      </c>
      <c r="B323" s="5">
        <v>45461</v>
      </c>
      <c r="C323" s="6" t="s">
        <v>510</v>
      </c>
      <c r="D323" s="7" t="s">
        <v>14</v>
      </c>
      <c r="E323" s="6" t="s">
        <v>11</v>
      </c>
      <c r="F323" s="45">
        <v>258.62068965517244</v>
      </c>
      <c r="G323" s="7" t="s">
        <v>15</v>
      </c>
      <c r="H323" s="6"/>
      <c r="I323" s="65" t="s">
        <v>83</v>
      </c>
    </row>
    <row r="324" spans="1:10" ht="15.75" x14ac:dyDescent="0.25">
      <c r="A324" s="6" t="s">
        <v>33</v>
      </c>
      <c r="B324" s="5">
        <v>45463</v>
      </c>
      <c r="C324" s="6" t="s">
        <v>511</v>
      </c>
      <c r="D324" s="6" t="s">
        <v>512</v>
      </c>
      <c r="E324" s="6" t="s">
        <v>10</v>
      </c>
      <c r="F324" s="45">
        <v>1293.1034482758621</v>
      </c>
      <c r="G324" s="6" t="s">
        <v>513</v>
      </c>
      <c r="H324" s="6"/>
      <c r="I324" s="65" t="s">
        <v>83</v>
      </c>
    </row>
    <row r="325" spans="1:10" ht="15.75" x14ac:dyDescent="0.25">
      <c r="A325" s="6" t="s">
        <v>33</v>
      </c>
      <c r="B325" s="5">
        <v>45463</v>
      </c>
      <c r="C325" s="6" t="s">
        <v>514</v>
      </c>
      <c r="D325" s="6" t="s">
        <v>515</v>
      </c>
      <c r="E325" s="6" t="s">
        <v>10</v>
      </c>
      <c r="F325" s="45">
        <v>258.62068965517244</v>
      </c>
      <c r="G325" s="6" t="s">
        <v>8</v>
      </c>
      <c r="H325" s="6"/>
      <c r="I325" s="65" t="s">
        <v>83</v>
      </c>
    </row>
    <row r="326" spans="1:10" ht="15.75" x14ac:dyDescent="0.25">
      <c r="A326" s="6" t="s">
        <v>33</v>
      </c>
      <c r="B326" s="5">
        <v>45463</v>
      </c>
      <c r="C326" s="6" t="s">
        <v>516</v>
      </c>
      <c r="D326" s="6" t="s">
        <v>14</v>
      </c>
      <c r="E326" s="6" t="s">
        <v>16</v>
      </c>
      <c r="F326" s="45">
        <v>258.62068965517244</v>
      </c>
      <c r="G326" s="6" t="s">
        <v>15</v>
      </c>
      <c r="H326" s="6"/>
      <c r="I326" s="65" t="s">
        <v>83</v>
      </c>
    </row>
    <row r="327" spans="1:10" ht="15.75" x14ac:dyDescent="0.25">
      <c r="A327" s="20" t="s">
        <v>33</v>
      </c>
      <c r="B327" s="19">
        <v>45464</v>
      </c>
      <c r="C327" s="20" t="s">
        <v>517</v>
      </c>
      <c r="D327" s="20" t="s">
        <v>22</v>
      </c>
      <c r="E327" s="20" t="s">
        <v>23</v>
      </c>
      <c r="F327" s="47">
        <v>374000</v>
      </c>
      <c r="G327" s="20" t="s">
        <v>13</v>
      </c>
      <c r="H327" s="20" t="s">
        <v>518</v>
      </c>
      <c r="I327" s="68" t="s">
        <v>83</v>
      </c>
      <c r="J327" s="8" t="s">
        <v>2042</v>
      </c>
    </row>
    <row r="328" spans="1:10" ht="15.75" x14ac:dyDescent="0.25">
      <c r="A328" s="6" t="s">
        <v>33</v>
      </c>
      <c r="B328" s="5">
        <v>45464</v>
      </c>
      <c r="C328" s="6" t="s">
        <v>519</v>
      </c>
      <c r="D328" s="6" t="s">
        <v>520</v>
      </c>
      <c r="E328" s="6" t="s">
        <v>23</v>
      </c>
      <c r="F328" s="45">
        <v>20425</v>
      </c>
      <c r="G328" s="6" t="s">
        <v>8</v>
      </c>
      <c r="H328" s="6" t="s">
        <v>521</v>
      </c>
      <c r="I328" s="65" t="s">
        <v>83</v>
      </c>
    </row>
    <row r="329" spans="1:10" ht="15.75" x14ac:dyDescent="0.25">
      <c r="A329" s="6" t="s">
        <v>33</v>
      </c>
      <c r="B329" s="5">
        <v>45464</v>
      </c>
      <c r="C329" s="6" t="s">
        <v>522</v>
      </c>
      <c r="D329" s="6" t="s">
        <v>30</v>
      </c>
      <c r="E329" s="6"/>
      <c r="F329" s="45">
        <v>0</v>
      </c>
      <c r="G329" s="6"/>
      <c r="H329" s="6"/>
      <c r="I329" s="65" t="s">
        <v>83</v>
      </c>
    </row>
    <row r="330" spans="1:10" ht="15.75" x14ac:dyDescent="0.25">
      <c r="A330" s="6" t="s">
        <v>33</v>
      </c>
      <c r="B330" s="5">
        <v>45467</v>
      </c>
      <c r="C330" s="6" t="s">
        <v>523</v>
      </c>
      <c r="D330" s="6" t="s">
        <v>14</v>
      </c>
      <c r="E330" s="6" t="s">
        <v>16</v>
      </c>
      <c r="F330" s="45">
        <v>1778.0000000000002</v>
      </c>
      <c r="G330" s="6" t="s">
        <v>15</v>
      </c>
      <c r="H330" s="6"/>
      <c r="I330" s="65" t="s">
        <v>83</v>
      </c>
    </row>
    <row r="331" spans="1:10" ht="15.75" x14ac:dyDescent="0.25">
      <c r="A331" s="6" t="s">
        <v>33</v>
      </c>
      <c r="B331" s="5">
        <v>45467</v>
      </c>
      <c r="C331" s="6" t="s">
        <v>524</v>
      </c>
      <c r="D331" s="6" t="s">
        <v>14</v>
      </c>
      <c r="E331" s="6" t="s">
        <v>16</v>
      </c>
      <c r="F331" s="45">
        <v>888</v>
      </c>
      <c r="G331" s="6" t="s">
        <v>15</v>
      </c>
      <c r="H331" s="6"/>
      <c r="I331" s="65" t="s">
        <v>83</v>
      </c>
    </row>
    <row r="332" spans="1:10" ht="15.75" x14ac:dyDescent="0.25">
      <c r="A332" s="6" t="s">
        <v>33</v>
      </c>
      <c r="B332" s="5">
        <v>45467</v>
      </c>
      <c r="C332" s="6" t="s">
        <v>525</v>
      </c>
      <c r="D332" s="6" t="s">
        <v>22</v>
      </c>
      <c r="E332" s="6" t="s">
        <v>18</v>
      </c>
      <c r="F332" s="45">
        <v>312.00000000000006</v>
      </c>
      <c r="G332" s="6" t="s">
        <v>34</v>
      </c>
      <c r="H332" s="6"/>
      <c r="I332" s="65" t="s">
        <v>83</v>
      </c>
    </row>
    <row r="333" spans="1:10" ht="15.75" x14ac:dyDescent="0.25">
      <c r="A333" s="6" t="s">
        <v>33</v>
      </c>
      <c r="B333" s="5">
        <v>45468</v>
      </c>
      <c r="C333" s="6" t="s">
        <v>526</v>
      </c>
      <c r="D333" s="6" t="s">
        <v>30</v>
      </c>
      <c r="E333" s="6"/>
      <c r="F333" s="45">
        <v>0</v>
      </c>
      <c r="G333" s="6"/>
      <c r="H333" s="6"/>
      <c r="I333" s="65" t="s">
        <v>83</v>
      </c>
    </row>
    <row r="334" spans="1:10" ht="15.75" x14ac:dyDescent="0.25">
      <c r="A334" s="6" t="s">
        <v>33</v>
      </c>
      <c r="B334" s="5">
        <v>45468</v>
      </c>
      <c r="C334" s="6" t="s">
        <v>527</v>
      </c>
      <c r="D334" s="6" t="s">
        <v>42</v>
      </c>
      <c r="E334" s="6" t="s">
        <v>10</v>
      </c>
      <c r="F334" s="45">
        <v>1163.793103448276</v>
      </c>
      <c r="G334" s="6" t="s">
        <v>8</v>
      </c>
      <c r="H334" s="6"/>
      <c r="I334" s="65" t="s">
        <v>83</v>
      </c>
    </row>
    <row r="335" spans="1:10" ht="15.75" x14ac:dyDescent="0.25">
      <c r="A335" s="6" t="s">
        <v>33</v>
      </c>
      <c r="B335" s="5">
        <v>45468</v>
      </c>
      <c r="C335" s="6" t="s">
        <v>528</v>
      </c>
      <c r="D335" s="6" t="s">
        <v>30</v>
      </c>
      <c r="E335" s="6"/>
      <c r="F335" s="45">
        <v>0</v>
      </c>
      <c r="G335" s="6"/>
      <c r="H335" s="6"/>
      <c r="I335" s="65" t="s">
        <v>83</v>
      </c>
    </row>
    <row r="336" spans="1:10" ht="15.75" x14ac:dyDescent="0.25">
      <c r="A336" s="6" t="s">
        <v>33</v>
      </c>
      <c r="B336" s="5">
        <v>45469</v>
      </c>
      <c r="C336" s="6" t="s">
        <v>529</v>
      </c>
      <c r="D336" s="6" t="s">
        <v>530</v>
      </c>
      <c r="E336" s="6" t="s">
        <v>18</v>
      </c>
      <c r="F336" s="45">
        <v>413.79310344827587</v>
      </c>
      <c r="G336" s="6" t="s">
        <v>8</v>
      </c>
      <c r="H336" s="6"/>
      <c r="I336" s="65" t="s">
        <v>83</v>
      </c>
    </row>
    <row r="337" spans="1:9" ht="15.75" x14ac:dyDescent="0.25">
      <c r="A337" s="6" t="s">
        <v>33</v>
      </c>
      <c r="B337" s="5">
        <v>45469</v>
      </c>
      <c r="C337" s="6" t="s">
        <v>531</v>
      </c>
      <c r="D337" s="6" t="s">
        <v>532</v>
      </c>
      <c r="E337" s="6" t="s">
        <v>16</v>
      </c>
      <c r="F337" s="45">
        <v>2020.6896551724139</v>
      </c>
      <c r="G337" s="6" t="s">
        <v>15</v>
      </c>
      <c r="H337" s="6"/>
      <c r="I337" s="65" t="s">
        <v>83</v>
      </c>
    </row>
    <row r="338" spans="1:9" ht="15.75" x14ac:dyDescent="0.25">
      <c r="A338" s="6" t="s">
        <v>33</v>
      </c>
      <c r="B338" s="5">
        <v>45470</v>
      </c>
      <c r="C338" s="6" t="s">
        <v>533</v>
      </c>
      <c r="D338" s="6" t="s">
        <v>22</v>
      </c>
      <c r="E338" s="6"/>
      <c r="F338" s="45">
        <v>0</v>
      </c>
      <c r="G338" s="6"/>
      <c r="H338" s="6"/>
      <c r="I338" s="65" t="s">
        <v>83</v>
      </c>
    </row>
    <row r="339" spans="1:9" ht="15.75" x14ac:dyDescent="0.25">
      <c r="A339" s="6" t="s">
        <v>33</v>
      </c>
      <c r="B339" s="5">
        <v>45470</v>
      </c>
      <c r="C339" s="6" t="s">
        <v>534</v>
      </c>
      <c r="D339" s="6" t="s">
        <v>14</v>
      </c>
      <c r="E339" s="6" t="s">
        <v>16</v>
      </c>
      <c r="F339" s="45">
        <v>808</v>
      </c>
      <c r="G339" s="6" t="s">
        <v>15</v>
      </c>
      <c r="H339" s="6"/>
      <c r="I339" s="65" t="s">
        <v>83</v>
      </c>
    </row>
    <row r="340" spans="1:9" ht="15.75" x14ac:dyDescent="0.25">
      <c r="A340" s="6" t="s">
        <v>33</v>
      </c>
      <c r="B340" s="5">
        <v>45470</v>
      </c>
      <c r="C340" s="6" t="s">
        <v>535</v>
      </c>
      <c r="D340" s="6" t="s">
        <v>14</v>
      </c>
      <c r="E340" s="6" t="s">
        <v>16</v>
      </c>
      <c r="F340" s="45">
        <v>1979.3103448275863</v>
      </c>
      <c r="G340" s="6" t="s">
        <v>15</v>
      </c>
      <c r="H340" s="6"/>
      <c r="I340" s="65" t="s">
        <v>83</v>
      </c>
    </row>
    <row r="341" spans="1:9" ht="15.75" x14ac:dyDescent="0.25">
      <c r="A341" s="6" t="s">
        <v>33</v>
      </c>
      <c r="B341" s="5">
        <v>45471</v>
      </c>
      <c r="C341" s="6" t="s">
        <v>536</v>
      </c>
      <c r="D341" s="6" t="s">
        <v>14</v>
      </c>
      <c r="E341" s="6" t="s">
        <v>16</v>
      </c>
      <c r="F341" s="45">
        <v>2591.3793103448279</v>
      </c>
      <c r="G341" s="6" t="s">
        <v>15</v>
      </c>
      <c r="H341" s="6"/>
      <c r="I341" s="65" t="s">
        <v>83</v>
      </c>
    </row>
    <row r="342" spans="1:9" ht="15.75" x14ac:dyDescent="0.25">
      <c r="A342" s="6" t="s">
        <v>33</v>
      </c>
      <c r="B342" s="5">
        <v>45471</v>
      </c>
      <c r="C342" s="6" t="s">
        <v>537</v>
      </c>
      <c r="D342" s="6" t="s">
        <v>14</v>
      </c>
      <c r="E342" s="6" t="s">
        <v>16</v>
      </c>
      <c r="F342" s="45">
        <v>1341.3793103448277</v>
      </c>
      <c r="G342" s="6" t="s">
        <v>15</v>
      </c>
      <c r="H342" s="6"/>
      <c r="I342" s="65" t="s">
        <v>83</v>
      </c>
    </row>
    <row r="343" spans="1:9" ht="15.75" x14ac:dyDescent="0.25">
      <c r="A343" s="6" t="s">
        <v>33</v>
      </c>
      <c r="B343" s="5">
        <v>45471</v>
      </c>
      <c r="C343" s="6" t="s">
        <v>538</v>
      </c>
      <c r="D343" s="6" t="s">
        <v>435</v>
      </c>
      <c r="E343" s="6" t="s">
        <v>23</v>
      </c>
      <c r="F343" s="45">
        <v>24443.000000000004</v>
      </c>
      <c r="G343" s="6" t="s">
        <v>513</v>
      </c>
      <c r="H343" s="6" t="s">
        <v>52</v>
      </c>
      <c r="I343" s="65" t="s">
        <v>83</v>
      </c>
    </row>
    <row r="344" spans="1:9" ht="15.75" x14ac:dyDescent="0.25">
      <c r="A344" s="6" t="s">
        <v>33</v>
      </c>
      <c r="B344" s="5">
        <v>45472</v>
      </c>
      <c r="C344" s="6" t="s">
        <v>539</v>
      </c>
      <c r="D344" s="6" t="s">
        <v>14</v>
      </c>
      <c r="E344" s="6" t="s">
        <v>11</v>
      </c>
      <c r="F344" s="45">
        <v>258.62068965517244</v>
      </c>
      <c r="G344" s="6" t="s">
        <v>15</v>
      </c>
      <c r="H344" s="6"/>
      <c r="I344" s="65" t="s">
        <v>83</v>
      </c>
    </row>
    <row r="345" spans="1:9" ht="15.75" x14ac:dyDescent="0.25">
      <c r="A345" s="6" t="s">
        <v>33</v>
      </c>
      <c r="B345" s="5">
        <v>45472</v>
      </c>
      <c r="C345" s="6" t="s">
        <v>540</v>
      </c>
      <c r="D345" s="6" t="s">
        <v>14</v>
      </c>
      <c r="E345" s="6" t="s">
        <v>11</v>
      </c>
      <c r="F345" s="45">
        <v>258.62068965517244</v>
      </c>
      <c r="G345" s="6" t="s">
        <v>15</v>
      </c>
      <c r="H345" s="6"/>
      <c r="I345" s="65" t="s">
        <v>83</v>
      </c>
    </row>
    <row r="346" spans="1:9" ht="15.75" x14ac:dyDescent="0.25">
      <c r="A346" s="6" t="s">
        <v>33</v>
      </c>
      <c r="B346" s="5">
        <v>45472</v>
      </c>
      <c r="C346" s="6" t="s">
        <v>541</v>
      </c>
      <c r="D346" s="6" t="s">
        <v>14</v>
      </c>
      <c r="E346" s="6" t="s">
        <v>16</v>
      </c>
      <c r="F346" s="45">
        <v>1594.8275862068967</v>
      </c>
      <c r="G346" s="6" t="s">
        <v>15</v>
      </c>
      <c r="H346" s="6"/>
      <c r="I346" s="65" t="s">
        <v>83</v>
      </c>
    </row>
    <row r="347" spans="1:9" ht="15.75" x14ac:dyDescent="0.25">
      <c r="A347" s="6" t="s">
        <v>33</v>
      </c>
      <c r="B347" s="5">
        <v>45472</v>
      </c>
      <c r="C347" s="6" t="s">
        <v>542</v>
      </c>
      <c r="D347" s="6" t="s">
        <v>14</v>
      </c>
      <c r="E347" s="6" t="s">
        <v>10</v>
      </c>
      <c r="F347" s="45">
        <v>1465.5172413793105</v>
      </c>
      <c r="G347" s="6" t="s">
        <v>8</v>
      </c>
      <c r="H347" s="6"/>
      <c r="I347" s="65" t="s">
        <v>83</v>
      </c>
    </row>
    <row r="348" spans="1:9" ht="15.75" x14ac:dyDescent="0.25">
      <c r="A348" s="6" t="s">
        <v>33</v>
      </c>
      <c r="B348" s="5">
        <v>45474</v>
      </c>
      <c r="C348" s="6" t="s">
        <v>543</v>
      </c>
      <c r="D348" s="6" t="s">
        <v>544</v>
      </c>
      <c r="E348" s="6" t="s">
        <v>20</v>
      </c>
      <c r="F348" s="45">
        <v>4598.2758620689656</v>
      </c>
      <c r="G348" s="6" t="s">
        <v>513</v>
      </c>
      <c r="H348" s="6" t="s">
        <v>56</v>
      </c>
      <c r="I348" s="65" t="s">
        <v>83</v>
      </c>
    </row>
    <row r="349" spans="1:9" ht="15.75" x14ac:dyDescent="0.25">
      <c r="A349" s="6" t="s">
        <v>33</v>
      </c>
      <c r="B349" s="5">
        <v>45475</v>
      </c>
      <c r="C349" s="6" t="s">
        <v>545</v>
      </c>
      <c r="D349" s="6" t="s">
        <v>14</v>
      </c>
      <c r="E349" s="6" t="s">
        <v>16</v>
      </c>
      <c r="F349" s="45">
        <v>4426</v>
      </c>
      <c r="G349" s="6" t="s">
        <v>15</v>
      </c>
      <c r="H349" s="6"/>
      <c r="I349" s="65" t="s">
        <v>83</v>
      </c>
    </row>
    <row r="350" spans="1:9" ht="15.75" x14ac:dyDescent="0.25">
      <c r="A350" s="6" t="s">
        <v>33</v>
      </c>
      <c r="B350" s="5">
        <v>45475</v>
      </c>
      <c r="C350" s="6" t="s">
        <v>546</v>
      </c>
      <c r="D350" s="6" t="s">
        <v>14</v>
      </c>
      <c r="E350" s="6" t="s">
        <v>16</v>
      </c>
      <c r="F350" s="45">
        <v>1581.0000000000002</v>
      </c>
      <c r="G350" s="6" t="s">
        <v>15</v>
      </c>
      <c r="H350" s="6"/>
      <c r="I350" s="65" t="s">
        <v>83</v>
      </c>
    </row>
    <row r="351" spans="1:9" ht="15.75" x14ac:dyDescent="0.25">
      <c r="A351" s="6" t="s">
        <v>33</v>
      </c>
      <c r="B351" s="5">
        <v>45475</v>
      </c>
      <c r="C351" s="6" t="s">
        <v>547</v>
      </c>
      <c r="D351" s="6" t="s">
        <v>14</v>
      </c>
      <c r="E351" s="6" t="s">
        <v>11</v>
      </c>
      <c r="F351" s="45">
        <v>258.62068965517244</v>
      </c>
      <c r="G351" s="6" t="s">
        <v>15</v>
      </c>
      <c r="H351" s="6"/>
      <c r="I351" s="65" t="s">
        <v>83</v>
      </c>
    </row>
    <row r="352" spans="1:9" ht="15.75" x14ac:dyDescent="0.25">
      <c r="A352" s="6" t="s">
        <v>33</v>
      </c>
      <c r="B352" s="5">
        <v>45475</v>
      </c>
      <c r="C352" s="6" t="s">
        <v>548</v>
      </c>
      <c r="D352" s="6" t="s">
        <v>22</v>
      </c>
      <c r="E352" s="6" t="s">
        <v>18</v>
      </c>
      <c r="F352" s="45">
        <v>270</v>
      </c>
      <c r="G352" s="6" t="s">
        <v>34</v>
      </c>
      <c r="H352" s="6"/>
      <c r="I352" s="65" t="s">
        <v>83</v>
      </c>
    </row>
    <row r="353" spans="1:9" ht="15.75" x14ac:dyDescent="0.25">
      <c r="A353" s="6" t="s">
        <v>33</v>
      </c>
      <c r="B353" s="5">
        <v>45477</v>
      </c>
      <c r="C353" s="6" t="s">
        <v>549</v>
      </c>
      <c r="D353" s="6" t="s">
        <v>550</v>
      </c>
      <c r="E353" s="6" t="s">
        <v>20</v>
      </c>
      <c r="F353" s="45">
        <v>5603.4482758620697</v>
      </c>
      <c r="G353" s="6" t="s">
        <v>8</v>
      </c>
      <c r="H353" s="6" t="s">
        <v>37</v>
      </c>
      <c r="I353" s="65" t="s">
        <v>83</v>
      </c>
    </row>
    <row r="354" spans="1:9" ht="15.75" x14ac:dyDescent="0.25">
      <c r="A354" s="6" t="s">
        <v>33</v>
      </c>
      <c r="B354" s="5">
        <v>45478</v>
      </c>
      <c r="C354" s="6" t="s">
        <v>551</v>
      </c>
      <c r="D354" s="6" t="s">
        <v>14</v>
      </c>
      <c r="E354" s="6" t="s">
        <v>16</v>
      </c>
      <c r="F354" s="45">
        <v>2559</v>
      </c>
      <c r="G354" s="6" t="s">
        <v>15</v>
      </c>
      <c r="H354" s="6"/>
      <c r="I354" s="65" t="s">
        <v>83</v>
      </c>
    </row>
    <row r="355" spans="1:9" ht="15.75" x14ac:dyDescent="0.25">
      <c r="A355" s="6" t="s">
        <v>33</v>
      </c>
      <c r="B355" s="5">
        <v>45479</v>
      </c>
      <c r="C355" s="6" t="s">
        <v>552</v>
      </c>
      <c r="D355" s="6" t="s">
        <v>22</v>
      </c>
      <c r="E355" s="6" t="s">
        <v>18</v>
      </c>
      <c r="F355" s="45">
        <v>2700</v>
      </c>
      <c r="G355" s="6" t="s">
        <v>34</v>
      </c>
      <c r="H355" s="6"/>
      <c r="I355" s="65" t="s">
        <v>83</v>
      </c>
    </row>
    <row r="356" spans="1:9" ht="15.75" x14ac:dyDescent="0.25">
      <c r="A356" s="6" t="s">
        <v>33</v>
      </c>
      <c r="B356" s="5">
        <v>45479</v>
      </c>
      <c r="C356" s="6" t="s">
        <v>553</v>
      </c>
      <c r="D356" s="6" t="s">
        <v>120</v>
      </c>
      <c r="E356" s="6" t="s">
        <v>11</v>
      </c>
      <c r="F356" s="45">
        <v>258.62068965517244</v>
      </c>
      <c r="G356" s="6" t="s">
        <v>15</v>
      </c>
      <c r="H356" s="6"/>
      <c r="I356" s="65" t="s">
        <v>83</v>
      </c>
    </row>
    <row r="357" spans="1:9" ht="15.75" x14ac:dyDescent="0.25">
      <c r="A357" s="6" t="s">
        <v>33</v>
      </c>
      <c r="B357" s="5">
        <v>45481</v>
      </c>
      <c r="C357" s="6" t="s">
        <v>554</v>
      </c>
      <c r="D357" s="6" t="s">
        <v>464</v>
      </c>
      <c r="E357" s="6" t="s">
        <v>20</v>
      </c>
      <c r="F357" s="45">
        <v>8517.241379310346</v>
      </c>
      <c r="G357" s="6" t="s">
        <v>13</v>
      </c>
      <c r="H357" s="6" t="s">
        <v>58</v>
      </c>
      <c r="I357" s="65" t="s">
        <v>83</v>
      </c>
    </row>
    <row r="358" spans="1:9" ht="15.75" x14ac:dyDescent="0.25">
      <c r="A358" s="6" t="s">
        <v>33</v>
      </c>
      <c r="B358" s="5">
        <v>45481</v>
      </c>
      <c r="C358" s="6" t="s">
        <v>555</v>
      </c>
      <c r="D358" s="6" t="s">
        <v>14</v>
      </c>
      <c r="E358" s="6" t="s">
        <v>16</v>
      </c>
      <c r="F358" s="45">
        <v>1785</v>
      </c>
      <c r="G358" s="6" t="s">
        <v>15</v>
      </c>
      <c r="H358" s="6"/>
      <c r="I358" s="65" t="s">
        <v>83</v>
      </c>
    </row>
    <row r="359" spans="1:9" ht="15.75" x14ac:dyDescent="0.25">
      <c r="A359" s="6" t="s">
        <v>33</v>
      </c>
      <c r="B359" s="5">
        <v>45481</v>
      </c>
      <c r="C359" s="6" t="s">
        <v>556</v>
      </c>
      <c r="D359" s="6" t="s">
        <v>22</v>
      </c>
      <c r="E359" s="6" t="s">
        <v>18</v>
      </c>
      <c r="F359" s="45">
        <v>1075.1982758620691</v>
      </c>
      <c r="G359" s="6" t="s">
        <v>34</v>
      </c>
      <c r="H359" s="6"/>
      <c r="I359" s="65" t="s">
        <v>83</v>
      </c>
    </row>
    <row r="360" spans="1:9" ht="15.75" x14ac:dyDescent="0.25">
      <c r="A360" s="6" t="s">
        <v>33</v>
      </c>
      <c r="B360" s="5">
        <v>45481</v>
      </c>
      <c r="C360" s="6" t="s">
        <v>557</v>
      </c>
      <c r="D360" s="6" t="s">
        <v>14</v>
      </c>
      <c r="E360" s="6" t="s">
        <v>16</v>
      </c>
      <c r="F360" s="45">
        <v>2592</v>
      </c>
      <c r="G360" s="6" t="s">
        <v>15</v>
      </c>
      <c r="H360" s="6"/>
      <c r="I360" s="65" t="s">
        <v>83</v>
      </c>
    </row>
    <row r="361" spans="1:9" ht="15.75" x14ac:dyDescent="0.25">
      <c r="A361" s="6" t="s">
        <v>33</v>
      </c>
      <c r="B361" s="5">
        <v>45481</v>
      </c>
      <c r="C361" s="6" t="s">
        <v>558</v>
      </c>
      <c r="D361" s="7" t="s">
        <v>14</v>
      </c>
      <c r="E361" s="6" t="s">
        <v>16</v>
      </c>
      <c r="F361" s="45">
        <v>8510</v>
      </c>
      <c r="G361" s="7" t="s">
        <v>15</v>
      </c>
      <c r="H361" s="6"/>
      <c r="I361" s="65" t="s">
        <v>83</v>
      </c>
    </row>
    <row r="362" spans="1:9" ht="15.75" x14ac:dyDescent="0.25">
      <c r="A362" s="6" t="s">
        <v>33</v>
      </c>
      <c r="B362" s="5">
        <v>45481</v>
      </c>
      <c r="C362" s="6" t="s">
        <v>559</v>
      </c>
      <c r="D362" s="6" t="s">
        <v>14</v>
      </c>
      <c r="E362" s="6" t="s">
        <v>18</v>
      </c>
      <c r="F362" s="45">
        <v>146.55172413793105</v>
      </c>
      <c r="G362" s="6" t="s">
        <v>8</v>
      </c>
      <c r="H362" s="6"/>
      <c r="I362" s="65" t="s">
        <v>83</v>
      </c>
    </row>
    <row r="363" spans="1:9" ht="15.75" x14ac:dyDescent="0.25">
      <c r="A363" s="6" t="s">
        <v>33</v>
      </c>
      <c r="B363" s="5">
        <v>45481</v>
      </c>
      <c r="C363" s="6" t="s">
        <v>560</v>
      </c>
      <c r="D363" s="6" t="s">
        <v>561</v>
      </c>
      <c r="E363" s="6" t="s">
        <v>10</v>
      </c>
      <c r="F363" s="45">
        <v>948.27586206896558</v>
      </c>
      <c r="G363" s="6" t="s">
        <v>8</v>
      </c>
      <c r="H363" s="6"/>
      <c r="I363" s="65" t="s">
        <v>83</v>
      </c>
    </row>
    <row r="364" spans="1:9" ht="15.75" x14ac:dyDescent="0.25">
      <c r="A364" s="6" t="s">
        <v>33</v>
      </c>
      <c r="B364" s="5">
        <v>45481</v>
      </c>
      <c r="C364" s="6" t="s">
        <v>562</v>
      </c>
      <c r="D364" s="6" t="s">
        <v>14</v>
      </c>
      <c r="E364" s="6" t="s">
        <v>16</v>
      </c>
      <c r="F364" s="45">
        <v>1146</v>
      </c>
      <c r="G364" s="6" t="s">
        <v>15</v>
      </c>
      <c r="H364" s="6"/>
      <c r="I364" s="65" t="s">
        <v>83</v>
      </c>
    </row>
    <row r="365" spans="1:9" ht="15.75" x14ac:dyDescent="0.25">
      <c r="A365" s="6" t="s">
        <v>33</v>
      </c>
      <c r="B365" s="5">
        <v>45482</v>
      </c>
      <c r="C365" s="6" t="s">
        <v>563</v>
      </c>
      <c r="D365" s="6" t="s">
        <v>14</v>
      </c>
      <c r="E365" s="6" t="s">
        <v>16</v>
      </c>
      <c r="F365" s="45">
        <v>2440.0000000000005</v>
      </c>
      <c r="G365" s="6" t="s">
        <v>15</v>
      </c>
      <c r="H365" s="6"/>
      <c r="I365" s="65" t="s">
        <v>83</v>
      </c>
    </row>
    <row r="366" spans="1:9" ht="15.75" x14ac:dyDescent="0.25">
      <c r="A366" s="6" t="s">
        <v>33</v>
      </c>
      <c r="B366" s="5">
        <v>45482</v>
      </c>
      <c r="C366" s="6" t="s">
        <v>564</v>
      </c>
      <c r="D366" s="6" t="s">
        <v>14</v>
      </c>
      <c r="E366" s="6" t="s">
        <v>16</v>
      </c>
      <c r="F366" s="45">
        <v>1721</v>
      </c>
      <c r="G366" s="6" t="s">
        <v>15</v>
      </c>
      <c r="H366" s="6"/>
      <c r="I366" s="65" t="s">
        <v>83</v>
      </c>
    </row>
    <row r="367" spans="1:9" ht="15.75" x14ac:dyDescent="0.25">
      <c r="A367" s="6" t="s">
        <v>33</v>
      </c>
      <c r="B367" s="5">
        <v>45482</v>
      </c>
      <c r="C367" s="6" t="s">
        <v>565</v>
      </c>
      <c r="D367" s="6" t="s">
        <v>14</v>
      </c>
      <c r="E367" s="6" t="s">
        <v>16</v>
      </c>
      <c r="F367" s="45">
        <v>1887.0000000000002</v>
      </c>
      <c r="G367" s="6" t="s">
        <v>15</v>
      </c>
      <c r="H367" s="6"/>
      <c r="I367" s="65" t="s">
        <v>83</v>
      </c>
    </row>
    <row r="368" spans="1:9" ht="15.75" x14ac:dyDescent="0.25">
      <c r="A368" s="6" t="s">
        <v>33</v>
      </c>
      <c r="B368" s="5">
        <v>45482</v>
      </c>
      <c r="C368" s="6" t="s">
        <v>566</v>
      </c>
      <c r="D368" s="6" t="s">
        <v>14</v>
      </c>
      <c r="E368" s="6" t="s">
        <v>20</v>
      </c>
      <c r="F368" s="45">
        <v>1724.1379310344828</v>
      </c>
      <c r="G368" s="6" t="s">
        <v>8</v>
      </c>
      <c r="H368" s="6" t="s">
        <v>50</v>
      </c>
      <c r="I368" s="65" t="s">
        <v>83</v>
      </c>
    </row>
    <row r="369" spans="1:9" ht="15.75" x14ac:dyDescent="0.25">
      <c r="A369" s="6" t="s">
        <v>33</v>
      </c>
      <c r="B369" s="5">
        <v>45483</v>
      </c>
      <c r="C369" s="6" t="s">
        <v>567</v>
      </c>
      <c r="D369" s="6" t="s">
        <v>384</v>
      </c>
      <c r="E369" s="6" t="s">
        <v>27</v>
      </c>
      <c r="F369" s="45">
        <v>600</v>
      </c>
      <c r="G369" s="6" t="s">
        <v>177</v>
      </c>
      <c r="H369" s="6"/>
      <c r="I369" s="65" t="s">
        <v>83</v>
      </c>
    </row>
    <row r="370" spans="1:9" ht="15.75" x14ac:dyDescent="0.25">
      <c r="A370" s="6" t="s">
        <v>33</v>
      </c>
      <c r="B370" s="5">
        <v>45483</v>
      </c>
      <c r="C370" s="6" t="s">
        <v>568</v>
      </c>
      <c r="D370" s="6" t="s">
        <v>48</v>
      </c>
      <c r="E370" s="6" t="s">
        <v>16</v>
      </c>
      <c r="F370" s="45">
        <v>2035</v>
      </c>
      <c r="G370" s="6" t="s">
        <v>15</v>
      </c>
      <c r="H370" s="6"/>
      <c r="I370" s="65" t="s">
        <v>83</v>
      </c>
    </row>
    <row r="371" spans="1:9" ht="15.75" x14ac:dyDescent="0.25">
      <c r="A371" s="6" t="s">
        <v>33</v>
      </c>
      <c r="B371" s="5">
        <v>45488</v>
      </c>
      <c r="C371" s="6" t="s">
        <v>569</v>
      </c>
      <c r="D371" s="6" t="s">
        <v>14</v>
      </c>
      <c r="E371" s="6" t="s">
        <v>10</v>
      </c>
      <c r="F371" s="45">
        <v>328.00000000000006</v>
      </c>
      <c r="G371" s="6" t="s">
        <v>8</v>
      </c>
      <c r="H371" s="6"/>
      <c r="I371" s="65" t="s">
        <v>83</v>
      </c>
    </row>
    <row r="372" spans="1:9" ht="15.75" x14ac:dyDescent="0.25">
      <c r="A372" s="6" t="s">
        <v>33</v>
      </c>
      <c r="B372" s="5">
        <v>45488</v>
      </c>
      <c r="C372" s="6" t="s">
        <v>570</v>
      </c>
      <c r="D372" s="6" t="s">
        <v>14</v>
      </c>
      <c r="E372" s="6" t="s">
        <v>10</v>
      </c>
      <c r="F372" s="45">
        <v>302</v>
      </c>
      <c r="G372" s="6" t="s">
        <v>8</v>
      </c>
      <c r="H372" s="6"/>
      <c r="I372" s="65" t="s">
        <v>83</v>
      </c>
    </row>
    <row r="373" spans="1:9" ht="15.75" x14ac:dyDescent="0.25">
      <c r="A373" s="6" t="s">
        <v>33</v>
      </c>
      <c r="B373" s="5">
        <v>45489</v>
      </c>
      <c r="C373" s="6" t="s">
        <v>571</v>
      </c>
      <c r="D373" s="6" t="s">
        <v>572</v>
      </c>
      <c r="E373" s="6" t="s">
        <v>16</v>
      </c>
      <c r="F373" s="45">
        <v>1600.8620689655174</v>
      </c>
      <c r="G373" s="6" t="s">
        <v>15</v>
      </c>
      <c r="H373" s="6"/>
      <c r="I373" s="65" t="s">
        <v>83</v>
      </c>
    </row>
    <row r="374" spans="1:9" ht="15.75" x14ac:dyDescent="0.25">
      <c r="A374" s="6" t="s">
        <v>33</v>
      </c>
      <c r="B374" s="5">
        <v>45489</v>
      </c>
      <c r="C374" s="6" t="s">
        <v>573</v>
      </c>
      <c r="D374" s="6" t="s">
        <v>14</v>
      </c>
      <c r="E374" s="6" t="s">
        <v>18</v>
      </c>
      <c r="F374" s="45">
        <v>388</v>
      </c>
      <c r="G374" s="6" t="s">
        <v>15</v>
      </c>
      <c r="H374" s="6"/>
      <c r="I374" s="65" t="s">
        <v>83</v>
      </c>
    </row>
    <row r="375" spans="1:9" ht="15.75" x14ac:dyDescent="0.25">
      <c r="A375" s="6" t="s">
        <v>33</v>
      </c>
      <c r="B375" s="5">
        <v>45492</v>
      </c>
      <c r="C375" s="6" t="s">
        <v>574</v>
      </c>
      <c r="D375" s="6" t="s">
        <v>14</v>
      </c>
      <c r="E375" s="6" t="s">
        <v>16</v>
      </c>
      <c r="F375" s="45">
        <v>1293.0000000000002</v>
      </c>
      <c r="G375" s="6" t="s">
        <v>15</v>
      </c>
      <c r="H375" s="6"/>
      <c r="I375" s="65" t="s">
        <v>83</v>
      </c>
    </row>
    <row r="376" spans="1:9" ht="15.75" x14ac:dyDescent="0.25">
      <c r="A376" s="6" t="s">
        <v>33</v>
      </c>
      <c r="B376" s="5">
        <v>45492</v>
      </c>
      <c r="C376" s="6" t="s">
        <v>575</v>
      </c>
      <c r="D376" s="6" t="s">
        <v>14</v>
      </c>
      <c r="E376" s="6" t="s">
        <v>20</v>
      </c>
      <c r="F376" s="45">
        <v>5431.0431034482763</v>
      </c>
      <c r="G376" s="6" t="s">
        <v>8</v>
      </c>
      <c r="H376" s="6" t="s">
        <v>576</v>
      </c>
      <c r="I376" s="65" t="s">
        <v>83</v>
      </c>
    </row>
    <row r="377" spans="1:9" ht="15.75" x14ac:dyDescent="0.25">
      <c r="A377" s="6" t="s">
        <v>33</v>
      </c>
      <c r="B377" s="5">
        <v>45495</v>
      </c>
      <c r="C377" s="6" t="s">
        <v>577</v>
      </c>
      <c r="D377" s="6" t="s">
        <v>14</v>
      </c>
      <c r="E377" s="6" t="s">
        <v>10</v>
      </c>
      <c r="F377" s="45">
        <v>560.34482758620697</v>
      </c>
      <c r="G377" s="6" t="s">
        <v>15</v>
      </c>
      <c r="H377" s="6"/>
      <c r="I377" s="65" t="s">
        <v>83</v>
      </c>
    </row>
    <row r="378" spans="1:9" ht="15.75" x14ac:dyDescent="0.25">
      <c r="A378" s="6" t="s">
        <v>33</v>
      </c>
      <c r="B378" s="5">
        <v>45495</v>
      </c>
      <c r="C378" s="6" t="s">
        <v>578</v>
      </c>
      <c r="D378" s="6" t="s">
        <v>14</v>
      </c>
      <c r="E378" s="6" t="s">
        <v>18</v>
      </c>
      <c r="F378" s="45">
        <v>1793.1034482758621</v>
      </c>
      <c r="G378" s="6" t="s">
        <v>15</v>
      </c>
      <c r="H378" s="6"/>
      <c r="I378" s="65" t="s">
        <v>83</v>
      </c>
    </row>
    <row r="379" spans="1:9" ht="15.75" x14ac:dyDescent="0.25">
      <c r="A379" s="6" t="s">
        <v>33</v>
      </c>
      <c r="B379" s="5">
        <v>45495</v>
      </c>
      <c r="C379" s="6" t="s">
        <v>579</v>
      </c>
      <c r="D379" s="6" t="s">
        <v>580</v>
      </c>
      <c r="E379" s="6" t="s">
        <v>20</v>
      </c>
      <c r="F379" s="45">
        <v>3103.4482758620693</v>
      </c>
      <c r="G379" s="6" t="s">
        <v>13</v>
      </c>
      <c r="H379" s="6" t="s">
        <v>44</v>
      </c>
      <c r="I379" s="65" t="s">
        <v>83</v>
      </c>
    </row>
    <row r="380" spans="1:9" ht="15.75" x14ac:dyDescent="0.25">
      <c r="A380" s="6" t="s">
        <v>33</v>
      </c>
      <c r="B380" s="5">
        <v>45495</v>
      </c>
      <c r="C380" s="6" t="s">
        <v>581</v>
      </c>
      <c r="D380" s="6" t="s">
        <v>22</v>
      </c>
      <c r="E380" s="6"/>
      <c r="F380" s="45">
        <v>0</v>
      </c>
      <c r="G380" s="6"/>
      <c r="H380" s="6"/>
      <c r="I380" s="65" t="s">
        <v>83</v>
      </c>
    </row>
    <row r="381" spans="1:9" ht="15.75" x14ac:dyDescent="0.25">
      <c r="A381" s="6" t="s">
        <v>33</v>
      </c>
      <c r="B381" s="5">
        <v>45496</v>
      </c>
      <c r="C381" s="6" t="s">
        <v>582</v>
      </c>
      <c r="D381" s="6" t="s">
        <v>583</v>
      </c>
      <c r="E381" s="6" t="s">
        <v>10</v>
      </c>
      <c r="F381" s="45">
        <v>1465.5172413793105</v>
      </c>
      <c r="G381" s="6" t="s">
        <v>15</v>
      </c>
      <c r="H381" s="6"/>
      <c r="I381" s="65" t="s">
        <v>83</v>
      </c>
    </row>
    <row r="382" spans="1:9" ht="15.75" x14ac:dyDescent="0.25">
      <c r="A382" s="6" t="s">
        <v>33</v>
      </c>
      <c r="B382" s="5">
        <v>45496</v>
      </c>
      <c r="C382" s="6" t="s">
        <v>584</v>
      </c>
      <c r="D382" s="7" t="s">
        <v>14</v>
      </c>
      <c r="E382" s="6" t="s">
        <v>16</v>
      </c>
      <c r="F382" s="45">
        <v>690</v>
      </c>
      <c r="G382" s="7" t="s">
        <v>15</v>
      </c>
      <c r="H382" s="6"/>
      <c r="I382" s="65" t="s">
        <v>83</v>
      </c>
    </row>
    <row r="383" spans="1:9" ht="15.75" x14ac:dyDescent="0.25">
      <c r="A383" s="6" t="s">
        <v>33</v>
      </c>
      <c r="B383" s="5">
        <v>45498</v>
      </c>
      <c r="C383" s="6" t="s">
        <v>585</v>
      </c>
      <c r="D383" s="6" t="s">
        <v>586</v>
      </c>
      <c r="E383" s="6" t="s">
        <v>16</v>
      </c>
      <c r="F383" s="45">
        <v>2946.0000000000005</v>
      </c>
      <c r="G383" s="6" t="s">
        <v>15</v>
      </c>
      <c r="H383" s="6"/>
      <c r="I383" s="65" t="s">
        <v>83</v>
      </c>
    </row>
    <row r="384" spans="1:9" ht="15.75" x14ac:dyDescent="0.25">
      <c r="A384" s="6" t="s">
        <v>33</v>
      </c>
      <c r="B384" s="5">
        <v>45498</v>
      </c>
      <c r="C384" s="6" t="s">
        <v>587</v>
      </c>
      <c r="D384" s="6" t="s">
        <v>588</v>
      </c>
      <c r="E384" s="6" t="s">
        <v>11</v>
      </c>
      <c r="F384" s="45">
        <v>258.62068965517244</v>
      </c>
      <c r="G384" s="6" t="s">
        <v>513</v>
      </c>
      <c r="H384" s="6"/>
      <c r="I384" s="65" t="s">
        <v>83</v>
      </c>
    </row>
    <row r="385" spans="1:9" ht="15.75" x14ac:dyDescent="0.25">
      <c r="A385" s="6" t="s">
        <v>33</v>
      </c>
      <c r="B385" s="5">
        <v>45499</v>
      </c>
      <c r="C385" s="6" t="s">
        <v>589</v>
      </c>
      <c r="D385" s="6" t="s">
        <v>40</v>
      </c>
      <c r="E385" s="6" t="s">
        <v>16</v>
      </c>
      <c r="F385" s="45">
        <v>2861.0000000000005</v>
      </c>
      <c r="G385" s="6" t="s">
        <v>15</v>
      </c>
      <c r="H385" s="6"/>
      <c r="I385" s="65" t="s">
        <v>83</v>
      </c>
    </row>
    <row r="386" spans="1:9" ht="15.75" x14ac:dyDescent="0.25">
      <c r="A386" s="6" t="s">
        <v>33</v>
      </c>
      <c r="B386" s="5">
        <v>45502</v>
      </c>
      <c r="C386" s="6" t="s">
        <v>590</v>
      </c>
      <c r="D386" s="6" t="s">
        <v>61</v>
      </c>
      <c r="E386" s="6" t="s">
        <v>23</v>
      </c>
      <c r="F386" s="45">
        <v>26224.000000000004</v>
      </c>
      <c r="G386" s="6" t="s">
        <v>13</v>
      </c>
      <c r="H386" s="6" t="s">
        <v>591</v>
      </c>
      <c r="I386" s="65" t="s">
        <v>83</v>
      </c>
    </row>
    <row r="387" spans="1:9" ht="15.75" x14ac:dyDescent="0.25">
      <c r="A387" s="6" t="s">
        <v>33</v>
      </c>
      <c r="B387" s="5">
        <v>45502</v>
      </c>
      <c r="C387" s="6" t="s">
        <v>592</v>
      </c>
      <c r="D387" s="6" t="s">
        <v>14</v>
      </c>
      <c r="E387" s="6" t="s">
        <v>16</v>
      </c>
      <c r="F387" s="45">
        <v>2728</v>
      </c>
      <c r="G387" s="6" t="s">
        <v>15</v>
      </c>
      <c r="H387" s="6"/>
      <c r="I387" s="65" t="s">
        <v>83</v>
      </c>
    </row>
    <row r="388" spans="1:9" ht="15.75" x14ac:dyDescent="0.25">
      <c r="A388" s="6" t="s">
        <v>33</v>
      </c>
      <c r="B388" s="5">
        <v>45503</v>
      </c>
      <c r="C388" s="6" t="s">
        <v>593</v>
      </c>
      <c r="D388" s="6" t="s">
        <v>14</v>
      </c>
      <c r="E388" s="6" t="s">
        <v>20</v>
      </c>
      <c r="F388" s="45">
        <v>1724.1379310344828</v>
      </c>
      <c r="G388" s="6" t="s">
        <v>594</v>
      </c>
      <c r="H388" s="6" t="s">
        <v>250</v>
      </c>
      <c r="I388" s="65" t="s">
        <v>83</v>
      </c>
    </row>
    <row r="389" spans="1:9" ht="15.75" x14ac:dyDescent="0.25">
      <c r="A389" s="6" t="s">
        <v>33</v>
      </c>
      <c r="B389" s="5">
        <v>45503</v>
      </c>
      <c r="C389" s="6" t="s">
        <v>595</v>
      </c>
      <c r="D389" s="6" t="s">
        <v>14</v>
      </c>
      <c r="E389" s="6" t="s">
        <v>16</v>
      </c>
      <c r="F389" s="45">
        <v>1002</v>
      </c>
      <c r="G389" s="6" t="s">
        <v>15</v>
      </c>
      <c r="H389" s="6"/>
      <c r="I389" s="65" t="s">
        <v>83</v>
      </c>
    </row>
    <row r="390" spans="1:9" ht="15.75" x14ac:dyDescent="0.25">
      <c r="A390" s="6" t="s">
        <v>33</v>
      </c>
      <c r="B390" s="5">
        <v>45503</v>
      </c>
      <c r="C390" s="6" t="s">
        <v>596</v>
      </c>
      <c r="D390" s="6" t="s">
        <v>597</v>
      </c>
      <c r="E390" s="6" t="s">
        <v>16</v>
      </c>
      <c r="F390" s="45">
        <v>2586.2068965517242</v>
      </c>
      <c r="G390" s="6" t="s">
        <v>15</v>
      </c>
      <c r="H390" s="6"/>
      <c r="I390" s="65" t="s">
        <v>83</v>
      </c>
    </row>
    <row r="391" spans="1:9" ht="15.75" x14ac:dyDescent="0.25">
      <c r="A391" s="6" t="s">
        <v>33</v>
      </c>
      <c r="B391" s="5">
        <v>45503</v>
      </c>
      <c r="C391" s="6" t="s">
        <v>598</v>
      </c>
      <c r="D391" s="6" t="s">
        <v>599</v>
      </c>
      <c r="E391" s="6" t="s">
        <v>23</v>
      </c>
      <c r="F391" s="45">
        <v>54000.000000000007</v>
      </c>
      <c r="G391" s="6" t="s">
        <v>13</v>
      </c>
      <c r="H391" s="6" t="s">
        <v>600</v>
      </c>
      <c r="I391" s="65" t="s">
        <v>83</v>
      </c>
    </row>
    <row r="392" spans="1:9" ht="15.75" x14ac:dyDescent="0.25">
      <c r="A392" s="6" t="s">
        <v>33</v>
      </c>
      <c r="B392" s="5">
        <v>45506</v>
      </c>
      <c r="C392" s="6" t="s">
        <v>601</v>
      </c>
      <c r="D392" s="6" t="s">
        <v>14</v>
      </c>
      <c r="E392" s="6" t="s">
        <v>10</v>
      </c>
      <c r="F392" s="45">
        <v>168</v>
      </c>
      <c r="G392" s="6" t="s">
        <v>8</v>
      </c>
      <c r="H392" s="6"/>
      <c r="I392" s="65" t="s">
        <v>83</v>
      </c>
    </row>
    <row r="393" spans="1:9" ht="15.75" x14ac:dyDescent="0.25">
      <c r="A393" s="6" t="s">
        <v>33</v>
      </c>
      <c r="B393" s="5">
        <v>45506</v>
      </c>
      <c r="C393" s="6" t="s">
        <v>602</v>
      </c>
      <c r="D393" s="6" t="s">
        <v>14</v>
      </c>
      <c r="E393" s="6" t="s">
        <v>18</v>
      </c>
      <c r="F393" s="45">
        <v>646.55172413793105</v>
      </c>
      <c r="G393" s="6" t="s">
        <v>15</v>
      </c>
      <c r="H393" s="6"/>
      <c r="I393" s="65" t="s">
        <v>83</v>
      </c>
    </row>
    <row r="394" spans="1:9" ht="15.75" x14ac:dyDescent="0.25">
      <c r="A394" s="6" t="s">
        <v>33</v>
      </c>
      <c r="B394" s="5">
        <v>45509</v>
      </c>
      <c r="C394" s="6" t="s">
        <v>603</v>
      </c>
      <c r="D394" s="6" t="s">
        <v>22</v>
      </c>
      <c r="E394" s="6" t="s">
        <v>10</v>
      </c>
      <c r="F394" s="45">
        <v>693</v>
      </c>
      <c r="G394" s="6" t="s">
        <v>34</v>
      </c>
      <c r="H394" s="6"/>
      <c r="I394" s="65" t="s">
        <v>83</v>
      </c>
    </row>
    <row r="395" spans="1:9" ht="15.75" x14ac:dyDescent="0.25">
      <c r="A395" s="6" t="s">
        <v>33</v>
      </c>
      <c r="B395" s="5">
        <v>45509</v>
      </c>
      <c r="C395" s="6" t="s">
        <v>604</v>
      </c>
      <c r="D395" s="6" t="s">
        <v>28</v>
      </c>
      <c r="E395" s="6" t="s">
        <v>10</v>
      </c>
      <c r="F395" s="45">
        <v>3600.0000000000005</v>
      </c>
      <c r="G395" s="6" t="s">
        <v>13</v>
      </c>
      <c r="H395" s="6"/>
      <c r="I395" s="65" t="s">
        <v>83</v>
      </c>
    </row>
    <row r="396" spans="1:9" ht="15.75" x14ac:dyDescent="0.25">
      <c r="A396" s="6" t="s">
        <v>33</v>
      </c>
      <c r="B396" s="5">
        <v>45509</v>
      </c>
      <c r="C396" s="6" t="s">
        <v>605</v>
      </c>
      <c r="D396" s="6" t="s">
        <v>606</v>
      </c>
      <c r="E396" s="6" t="s">
        <v>20</v>
      </c>
      <c r="F396" s="45">
        <v>3103.4482758620693</v>
      </c>
      <c r="G396" s="6" t="s">
        <v>8</v>
      </c>
      <c r="H396" s="6" t="s">
        <v>44</v>
      </c>
      <c r="I396" s="65" t="s">
        <v>83</v>
      </c>
    </row>
    <row r="397" spans="1:9" ht="15.75" x14ac:dyDescent="0.25">
      <c r="A397" s="6" t="s">
        <v>33</v>
      </c>
      <c r="B397" s="5">
        <v>45509</v>
      </c>
      <c r="C397" s="6" t="s">
        <v>607</v>
      </c>
      <c r="D397" s="6" t="s">
        <v>14</v>
      </c>
      <c r="E397" s="6" t="s">
        <v>10</v>
      </c>
      <c r="F397" s="45">
        <v>2198.2758620689656</v>
      </c>
      <c r="G397" s="6" t="s">
        <v>8</v>
      </c>
      <c r="H397" s="6"/>
      <c r="I397" s="65" t="s">
        <v>83</v>
      </c>
    </row>
    <row r="398" spans="1:9" ht="15.75" x14ac:dyDescent="0.25">
      <c r="A398" s="6" t="s">
        <v>33</v>
      </c>
      <c r="B398" s="5">
        <v>45509</v>
      </c>
      <c r="C398" s="6" t="s">
        <v>608</v>
      </c>
      <c r="D398" s="6" t="s">
        <v>21</v>
      </c>
      <c r="E398" s="6" t="s">
        <v>10</v>
      </c>
      <c r="F398" s="45">
        <v>1465.5172413793105</v>
      </c>
      <c r="G398" s="6" t="s">
        <v>8</v>
      </c>
      <c r="H398" s="6"/>
      <c r="I398" s="65" t="s">
        <v>83</v>
      </c>
    </row>
    <row r="399" spans="1:9" ht="15.75" x14ac:dyDescent="0.25">
      <c r="A399" s="6" t="s">
        <v>33</v>
      </c>
      <c r="B399" s="5">
        <v>45511</v>
      </c>
      <c r="C399" s="6" t="s">
        <v>609</v>
      </c>
      <c r="D399" s="6" t="s">
        <v>22</v>
      </c>
      <c r="E399" s="6"/>
      <c r="F399" s="45">
        <v>0</v>
      </c>
      <c r="G399" s="6"/>
      <c r="H399" s="6"/>
      <c r="I399" s="65" t="s">
        <v>83</v>
      </c>
    </row>
    <row r="400" spans="1:9" ht="15.75" x14ac:dyDescent="0.25">
      <c r="A400" s="6" t="s">
        <v>33</v>
      </c>
      <c r="B400" s="5">
        <v>45511</v>
      </c>
      <c r="C400" s="6" t="s">
        <v>610</v>
      </c>
      <c r="D400" s="6" t="s">
        <v>611</v>
      </c>
      <c r="E400" s="6" t="s">
        <v>10</v>
      </c>
      <c r="F400" s="45">
        <v>818.97413793103453</v>
      </c>
      <c r="G400" s="6" t="s">
        <v>8</v>
      </c>
      <c r="H400" s="6"/>
      <c r="I400" s="65" t="s">
        <v>83</v>
      </c>
    </row>
    <row r="401" spans="1:9" ht="15.75" x14ac:dyDescent="0.25">
      <c r="A401" s="6" t="s">
        <v>33</v>
      </c>
      <c r="B401" s="5">
        <v>45512</v>
      </c>
      <c r="C401" s="6" t="s">
        <v>612</v>
      </c>
      <c r="D401" s="6" t="s">
        <v>22</v>
      </c>
      <c r="E401" s="6" t="s">
        <v>18</v>
      </c>
      <c r="F401" s="45">
        <v>2693.6982758620693</v>
      </c>
      <c r="G401" s="6" t="s">
        <v>34</v>
      </c>
      <c r="H401" s="6"/>
      <c r="I401" s="65" t="s">
        <v>83</v>
      </c>
    </row>
    <row r="402" spans="1:9" ht="15.75" x14ac:dyDescent="0.25">
      <c r="A402" s="6" t="s">
        <v>33</v>
      </c>
      <c r="B402" s="5">
        <v>45513</v>
      </c>
      <c r="C402" s="6" t="s">
        <v>613</v>
      </c>
      <c r="D402" s="6" t="s">
        <v>614</v>
      </c>
      <c r="E402" s="6" t="s">
        <v>20</v>
      </c>
      <c r="F402" s="45">
        <v>19396.551724137931</v>
      </c>
      <c r="G402" s="6" t="s">
        <v>8</v>
      </c>
      <c r="H402" s="6" t="s">
        <v>50</v>
      </c>
      <c r="I402" s="65" t="s">
        <v>83</v>
      </c>
    </row>
    <row r="403" spans="1:9" ht="15.75" x14ac:dyDescent="0.25">
      <c r="A403" s="6" t="s">
        <v>33</v>
      </c>
      <c r="B403" s="5">
        <v>45513</v>
      </c>
      <c r="C403" s="6" t="s">
        <v>615</v>
      </c>
      <c r="D403" s="6" t="s">
        <v>616</v>
      </c>
      <c r="E403" s="6" t="s">
        <v>16</v>
      </c>
      <c r="F403" s="45">
        <v>1581.043103448276</v>
      </c>
      <c r="G403" s="6" t="s">
        <v>15</v>
      </c>
      <c r="H403" s="6"/>
      <c r="I403" s="65" t="s">
        <v>83</v>
      </c>
    </row>
    <row r="404" spans="1:9" ht="15.75" x14ac:dyDescent="0.25">
      <c r="A404" s="6" t="s">
        <v>33</v>
      </c>
      <c r="B404" s="5">
        <v>45513</v>
      </c>
      <c r="C404" s="6" t="s">
        <v>617</v>
      </c>
      <c r="D404" s="6" t="s">
        <v>22</v>
      </c>
      <c r="E404" s="6" t="s">
        <v>18</v>
      </c>
      <c r="F404" s="45">
        <v>688.5</v>
      </c>
      <c r="G404" s="6" t="s">
        <v>34</v>
      </c>
      <c r="H404" s="6"/>
      <c r="I404" s="65" t="s">
        <v>83</v>
      </c>
    </row>
    <row r="405" spans="1:9" ht="15.75" x14ac:dyDescent="0.25">
      <c r="A405" s="6" t="s">
        <v>33</v>
      </c>
      <c r="B405" s="5">
        <v>45513</v>
      </c>
      <c r="C405" s="6" t="s">
        <v>618</v>
      </c>
      <c r="D405" s="7" t="s">
        <v>619</v>
      </c>
      <c r="E405" s="6" t="s">
        <v>23</v>
      </c>
      <c r="F405" s="45">
        <v>20800</v>
      </c>
      <c r="G405" s="7" t="s">
        <v>13</v>
      </c>
      <c r="H405" s="6" t="s">
        <v>52</v>
      </c>
      <c r="I405" s="65" t="s">
        <v>83</v>
      </c>
    </row>
    <row r="406" spans="1:9" ht="15.75" x14ac:dyDescent="0.25">
      <c r="A406" s="6" t="s">
        <v>33</v>
      </c>
      <c r="B406" s="5">
        <v>45513</v>
      </c>
      <c r="C406" s="6" t="s">
        <v>620</v>
      </c>
      <c r="D406" s="6" t="s">
        <v>619</v>
      </c>
      <c r="E406" s="6" t="s">
        <v>16</v>
      </c>
      <c r="F406" s="45">
        <v>4385.0000000000009</v>
      </c>
      <c r="G406" s="6" t="s">
        <v>15</v>
      </c>
      <c r="H406" s="6"/>
      <c r="I406" s="65" t="s">
        <v>83</v>
      </c>
    </row>
    <row r="407" spans="1:9" ht="15.75" x14ac:dyDescent="0.25">
      <c r="A407" s="6" t="s">
        <v>33</v>
      </c>
      <c r="B407" s="5">
        <v>45513</v>
      </c>
      <c r="C407" s="6" t="s">
        <v>621</v>
      </c>
      <c r="D407" s="6" t="s">
        <v>622</v>
      </c>
      <c r="E407" s="6" t="s">
        <v>18</v>
      </c>
      <c r="F407" s="45">
        <v>413.79310344827587</v>
      </c>
      <c r="G407" s="6" t="s">
        <v>15</v>
      </c>
      <c r="H407" s="6"/>
      <c r="I407" s="65" t="s">
        <v>83</v>
      </c>
    </row>
    <row r="408" spans="1:9" ht="15.75" x14ac:dyDescent="0.25">
      <c r="A408" s="6" t="s">
        <v>33</v>
      </c>
      <c r="B408" s="5">
        <v>45514</v>
      </c>
      <c r="C408" s="6" t="s">
        <v>623</v>
      </c>
      <c r="D408" s="6" t="s">
        <v>14</v>
      </c>
      <c r="E408" s="6" t="s">
        <v>16</v>
      </c>
      <c r="F408" s="45">
        <v>5835.3534482758623</v>
      </c>
      <c r="G408" s="6" t="s">
        <v>15</v>
      </c>
      <c r="H408" s="6"/>
      <c r="I408" s="65" t="s">
        <v>83</v>
      </c>
    </row>
    <row r="409" spans="1:9" ht="15.75" x14ac:dyDescent="0.25">
      <c r="A409" s="6" t="s">
        <v>33</v>
      </c>
      <c r="B409" s="5">
        <v>45514</v>
      </c>
      <c r="C409" s="6" t="s">
        <v>624</v>
      </c>
      <c r="D409" s="6" t="s">
        <v>14</v>
      </c>
      <c r="E409" s="6" t="s">
        <v>16</v>
      </c>
      <c r="F409" s="45">
        <v>3581.8965517241381</v>
      </c>
      <c r="G409" s="6" t="s">
        <v>15</v>
      </c>
      <c r="H409" s="6"/>
      <c r="I409" s="65" t="s">
        <v>83</v>
      </c>
    </row>
    <row r="410" spans="1:9" ht="15.75" x14ac:dyDescent="0.25">
      <c r="A410" s="6" t="s">
        <v>33</v>
      </c>
      <c r="B410" s="5">
        <v>45518</v>
      </c>
      <c r="C410" s="6" t="s">
        <v>625</v>
      </c>
      <c r="D410" s="6" t="s">
        <v>14</v>
      </c>
      <c r="E410" s="6" t="s">
        <v>16</v>
      </c>
      <c r="F410" s="45">
        <v>3373.2758620689656</v>
      </c>
      <c r="G410" s="6" t="s">
        <v>15</v>
      </c>
      <c r="H410" s="6"/>
      <c r="I410" s="65" t="s">
        <v>83</v>
      </c>
    </row>
    <row r="411" spans="1:9" ht="15.75" x14ac:dyDescent="0.25">
      <c r="A411" s="6" t="s">
        <v>33</v>
      </c>
      <c r="B411" s="5">
        <v>45518</v>
      </c>
      <c r="C411" s="6" t="s">
        <v>626</v>
      </c>
      <c r="D411" s="6" t="s">
        <v>14</v>
      </c>
      <c r="E411" s="6" t="s">
        <v>9</v>
      </c>
      <c r="F411" s="45">
        <v>801.72413793103453</v>
      </c>
      <c r="G411" s="6" t="s">
        <v>8</v>
      </c>
      <c r="H411" s="6"/>
      <c r="I411" s="65" t="s">
        <v>83</v>
      </c>
    </row>
    <row r="412" spans="1:9" ht="15.75" x14ac:dyDescent="0.25">
      <c r="A412" s="6" t="s">
        <v>33</v>
      </c>
      <c r="B412" s="5">
        <v>45518</v>
      </c>
      <c r="C412" s="6" t="s">
        <v>627</v>
      </c>
      <c r="D412" s="6" t="s">
        <v>14</v>
      </c>
      <c r="E412" s="6" t="s">
        <v>16</v>
      </c>
      <c r="F412" s="45">
        <v>1681.043103448276</v>
      </c>
      <c r="G412" s="6" t="s">
        <v>15</v>
      </c>
      <c r="H412" s="6"/>
      <c r="I412" s="65" t="s">
        <v>83</v>
      </c>
    </row>
    <row r="413" spans="1:9" ht="15.75" x14ac:dyDescent="0.25">
      <c r="A413" s="6" t="s">
        <v>33</v>
      </c>
      <c r="B413" s="5">
        <v>45518</v>
      </c>
      <c r="C413" s="6" t="s">
        <v>628</v>
      </c>
      <c r="D413" s="6" t="s">
        <v>14</v>
      </c>
      <c r="E413" s="6" t="s">
        <v>16</v>
      </c>
      <c r="F413" s="45">
        <v>1623.3965517241381</v>
      </c>
      <c r="G413" s="6" t="s">
        <v>15</v>
      </c>
      <c r="H413" s="6"/>
      <c r="I413" s="65" t="s">
        <v>83</v>
      </c>
    </row>
    <row r="414" spans="1:9" ht="15.75" x14ac:dyDescent="0.25">
      <c r="A414" s="6" t="s">
        <v>33</v>
      </c>
      <c r="B414" s="5">
        <v>45518</v>
      </c>
      <c r="C414" s="6" t="s">
        <v>629</v>
      </c>
      <c r="D414" s="6" t="s">
        <v>14</v>
      </c>
      <c r="E414" s="6" t="s">
        <v>16</v>
      </c>
      <c r="F414" s="45">
        <v>2546.0000000000005</v>
      </c>
      <c r="G414" s="6" t="s">
        <v>15</v>
      </c>
      <c r="H414" s="6"/>
      <c r="I414" s="65" t="s">
        <v>83</v>
      </c>
    </row>
    <row r="415" spans="1:9" ht="15.75" x14ac:dyDescent="0.25">
      <c r="A415" s="6" t="s">
        <v>33</v>
      </c>
      <c r="B415" s="5">
        <v>45519</v>
      </c>
      <c r="C415" s="6" t="s">
        <v>630</v>
      </c>
      <c r="D415" s="6" t="s">
        <v>22</v>
      </c>
      <c r="E415" s="6"/>
      <c r="F415" s="45">
        <v>0</v>
      </c>
      <c r="G415" s="6"/>
      <c r="H415" s="6"/>
      <c r="I415" s="65" t="s">
        <v>83</v>
      </c>
    </row>
    <row r="416" spans="1:9" ht="15.75" x14ac:dyDescent="0.25">
      <c r="A416" s="6" t="s">
        <v>33</v>
      </c>
      <c r="B416" s="5">
        <v>45519</v>
      </c>
      <c r="C416" s="6" t="s">
        <v>631</v>
      </c>
      <c r="D416" s="6" t="s">
        <v>14</v>
      </c>
      <c r="E416" s="6" t="s">
        <v>20</v>
      </c>
      <c r="F416" s="45">
        <v>1724.1379310344828</v>
      </c>
      <c r="G416" s="6" t="s">
        <v>249</v>
      </c>
      <c r="H416" s="6" t="s">
        <v>632</v>
      </c>
      <c r="I416" s="65" t="s">
        <v>83</v>
      </c>
    </row>
    <row r="417" spans="1:9" ht="15.75" x14ac:dyDescent="0.25">
      <c r="A417" s="6" t="s">
        <v>33</v>
      </c>
      <c r="B417" s="5">
        <v>45519</v>
      </c>
      <c r="C417" s="6" t="s">
        <v>633</v>
      </c>
      <c r="D417" s="6" t="s">
        <v>14</v>
      </c>
      <c r="E417" s="6" t="s">
        <v>11</v>
      </c>
      <c r="F417" s="45">
        <v>172.41379310344828</v>
      </c>
      <c r="G417" s="6" t="s">
        <v>15</v>
      </c>
      <c r="H417" s="6"/>
      <c r="I417" s="65" t="s">
        <v>83</v>
      </c>
    </row>
    <row r="418" spans="1:9" ht="15.75" x14ac:dyDescent="0.25">
      <c r="A418" s="6" t="s">
        <v>33</v>
      </c>
      <c r="B418" s="5">
        <v>45519</v>
      </c>
      <c r="C418" s="6" t="s">
        <v>634</v>
      </c>
      <c r="D418" s="6" t="s">
        <v>635</v>
      </c>
      <c r="E418" s="6" t="s">
        <v>20</v>
      </c>
      <c r="F418" s="45">
        <v>4094.5</v>
      </c>
      <c r="G418" s="6" t="s">
        <v>13</v>
      </c>
      <c r="H418" s="6" t="s">
        <v>295</v>
      </c>
      <c r="I418" s="65" t="s">
        <v>83</v>
      </c>
    </row>
    <row r="419" spans="1:9" ht="15.75" x14ac:dyDescent="0.25">
      <c r="A419" s="6" t="s">
        <v>33</v>
      </c>
      <c r="B419" s="5">
        <v>45520</v>
      </c>
      <c r="C419" s="6" t="s">
        <v>636</v>
      </c>
      <c r="D419" s="6" t="s">
        <v>637</v>
      </c>
      <c r="E419" s="6" t="s">
        <v>11</v>
      </c>
      <c r="F419" s="45">
        <v>258.62068965517244</v>
      </c>
      <c r="G419" s="6" t="s">
        <v>15</v>
      </c>
      <c r="H419" s="6"/>
      <c r="I419" s="65" t="s">
        <v>83</v>
      </c>
    </row>
    <row r="420" spans="1:9" ht="15.75" x14ac:dyDescent="0.25">
      <c r="A420" s="6" t="s">
        <v>33</v>
      </c>
      <c r="B420" s="5">
        <v>45520</v>
      </c>
      <c r="C420" s="6" t="s">
        <v>638</v>
      </c>
      <c r="D420" s="6" t="s">
        <v>14</v>
      </c>
      <c r="E420" s="6" t="s">
        <v>10</v>
      </c>
      <c r="F420" s="45">
        <v>301.72413793103448</v>
      </c>
      <c r="G420" s="6" t="s">
        <v>8</v>
      </c>
      <c r="H420" s="6"/>
      <c r="I420" s="65" t="s">
        <v>83</v>
      </c>
    </row>
    <row r="421" spans="1:9" ht="15.75" x14ac:dyDescent="0.25">
      <c r="A421" s="6" t="s">
        <v>33</v>
      </c>
      <c r="B421" s="5">
        <v>45523</v>
      </c>
      <c r="C421" s="6" t="s">
        <v>639</v>
      </c>
      <c r="D421" s="6" t="s">
        <v>640</v>
      </c>
      <c r="E421" s="6" t="s">
        <v>10</v>
      </c>
      <c r="F421" s="45">
        <v>172.41379310344828</v>
      </c>
      <c r="G421" s="6" t="s">
        <v>8</v>
      </c>
      <c r="H421" s="6"/>
      <c r="I421" s="65" t="s">
        <v>83</v>
      </c>
    </row>
    <row r="422" spans="1:9" ht="15.75" x14ac:dyDescent="0.25">
      <c r="A422" s="6" t="s">
        <v>33</v>
      </c>
      <c r="B422" s="5">
        <v>45524</v>
      </c>
      <c r="C422" s="6" t="s">
        <v>641</v>
      </c>
      <c r="D422" s="6" t="s">
        <v>14</v>
      </c>
      <c r="E422" s="6" t="s">
        <v>10</v>
      </c>
      <c r="F422" s="45">
        <v>1379.3103448275863</v>
      </c>
      <c r="G422" s="6" t="s">
        <v>8</v>
      </c>
      <c r="H422" s="6"/>
      <c r="I422" s="65" t="s">
        <v>83</v>
      </c>
    </row>
    <row r="423" spans="1:9" ht="15.75" x14ac:dyDescent="0.25">
      <c r="A423" s="6" t="s">
        <v>33</v>
      </c>
      <c r="B423" s="5">
        <v>45524</v>
      </c>
      <c r="C423" s="6" t="s">
        <v>642</v>
      </c>
      <c r="D423" s="6" t="s">
        <v>14</v>
      </c>
      <c r="E423" s="6" t="s">
        <v>643</v>
      </c>
      <c r="F423" s="45">
        <v>2500</v>
      </c>
      <c r="G423" s="6" t="s">
        <v>15</v>
      </c>
      <c r="H423" s="6"/>
      <c r="I423" s="65" t="s">
        <v>83</v>
      </c>
    </row>
    <row r="424" spans="1:9" ht="15.75" x14ac:dyDescent="0.25">
      <c r="A424" s="6" t="s">
        <v>33</v>
      </c>
      <c r="B424" s="5">
        <v>45524</v>
      </c>
      <c r="C424" s="6" t="s">
        <v>644</v>
      </c>
      <c r="D424" s="6" t="s">
        <v>645</v>
      </c>
      <c r="E424" s="6" t="s">
        <v>20</v>
      </c>
      <c r="F424" s="45">
        <v>3103.4482758620693</v>
      </c>
      <c r="G424" s="6" t="s">
        <v>8</v>
      </c>
      <c r="H424" s="6" t="s">
        <v>44</v>
      </c>
      <c r="I424" s="65" t="s">
        <v>83</v>
      </c>
    </row>
    <row r="425" spans="1:9" ht="15.75" x14ac:dyDescent="0.25">
      <c r="A425" s="6" t="s">
        <v>33</v>
      </c>
      <c r="B425" s="5">
        <v>45525</v>
      </c>
      <c r="C425" s="6" t="s">
        <v>646</v>
      </c>
      <c r="D425" s="6" t="s">
        <v>123</v>
      </c>
      <c r="E425" s="6" t="s">
        <v>23</v>
      </c>
      <c r="F425" s="45">
        <v>21500</v>
      </c>
      <c r="G425" s="6" t="s">
        <v>13</v>
      </c>
      <c r="H425" s="6" t="s">
        <v>52</v>
      </c>
      <c r="I425" s="65" t="s">
        <v>83</v>
      </c>
    </row>
    <row r="426" spans="1:9" ht="15.75" x14ac:dyDescent="0.25">
      <c r="A426" s="6" t="s">
        <v>33</v>
      </c>
      <c r="B426" s="5">
        <v>45525</v>
      </c>
      <c r="C426" s="6" t="s">
        <v>647</v>
      </c>
      <c r="D426" s="7" t="s">
        <v>14</v>
      </c>
      <c r="E426" s="6" t="s">
        <v>16</v>
      </c>
      <c r="F426" s="45">
        <v>2084</v>
      </c>
      <c r="G426" s="7" t="s">
        <v>15</v>
      </c>
      <c r="H426" s="6"/>
      <c r="I426" s="65" t="s">
        <v>83</v>
      </c>
    </row>
    <row r="427" spans="1:9" ht="15.75" x14ac:dyDescent="0.25">
      <c r="A427" s="6" t="s">
        <v>33</v>
      </c>
      <c r="B427" s="5">
        <v>45525</v>
      </c>
      <c r="C427" s="6" t="s">
        <v>648</v>
      </c>
      <c r="D427" s="6" t="s">
        <v>14</v>
      </c>
      <c r="E427" s="6" t="s">
        <v>10</v>
      </c>
      <c r="F427" s="45">
        <v>413.79310344827587</v>
      </c>
      <c r="G427" s="6" t="s">
        <v>8</v>
      </c>
      <c r="H427" s="6"/>
      <c r="I427" s="65" t="s">
        <v>83</v>
      </c>
    </row>
    <row r="428" spans="1:9" ht="15.75" x14ac:dyDescent="0.25">
      <c r="A428" s="6" t="s">
        <v>33</v>
      </c>
      <c r="B428" s="5">
        <v>45527</v>
      </c>
      <c r="C428" s="6" t="s">
        <v>649</v>
      </c>
      <c r="D428" s="6" t="s">
        <v>22</v>
      </c>
      <c r="E428" s="6"/>
      <c r="F428" s="45">
        <v>0</v>
      </c>
      <c r="G428" s="6"/>
      <c r="H428" s="6"/>
      <c r="I428" s="65" t="s">
        <v>83</v>
      </c>
    </row>
    <row r="429" spans="1:9" ht="15.75" x14ac:dyDescent="0.25">
      <c r="A429" s="6" t="s">
        <v>33</v>
      </c>
      <c r="B429" s="5">
        <v>45527</v>
      </c>
      <c r="C429" s="6" t="s">
        <v>650</v>
      </c>
      <c r="D429" s="6" t="s">
        <v>30</v>
      </c>
      <c r="E429" s="6"/>
      <c r="F429" s="45">
        <v>0</v>
      </c>
      <c r="G429" s="6"/>
      <c r="H429" s="6"/>
      <c r="I429" s="65" t="s">
        <v>83</v>
      </c>
    </row>
    <row r="430" spans="1:9" ht="15.75" x14ac:dyDescent="0.25">
      <c r="A430" s="6" t="s">
        <v>33</v>
      </c>
      <c r="B430" s="5">
        <v>45527</v>
      </c>
      <c r="C430" s="6" t="s">
        <v>651</v>
      </c>
      <c r="D430" s="6" t="s">
        <v>14</v>
      </c>
      <c r="E430" s="6" t="s">
        <v>11</v>
      </c>
      <c r="F430" s="45">
        <v>258.62068965517244</v>
      </c>
      <c r="G430" s="6" t="s">
        <v>15</v>
      </c>
      <c r="H430" s="6"/>
      <c r="I430" s="65" t="s">
        <v>83</v>
      </c>
    </row>
    <row r="431" spans="1:9" ht="15.75" x14ac:dyDescent="0.25">
      <c r="A431" s="6" t="s">
        <v>33</v>
      </c>
      <c r="B431" s="5">
        <v>45528</v>
      </c>
      <c r="C431" s="6" t="s">
        <v>652</v>
      </c>
      <c r="D431" s="6" t="s">
        <v>14</v>
      </c>
      <c r="E431" s="6" t="s">
        <v>16</v>
      </c>
      <c r="F431" s="45">
        <v>660.00000000000011</v>
      </c>
      <c r="G431" s="6" t="s">
        <v>15</v>
      </c>
      <c r="H431" s="6"/>
      <c r="I431" s="65" t="s">
        <v>83</v>
      </c>
    </row>
    <row r="432" spans="1:9" ht="15.75" x14ac:dyDescent="0.25">
      <c r="A432" s="6" t="s">
        <v>33</v>
      </c>
      <c r="B432" s="5">
        <v>45528</v>
      </c>
      <c r="C432" s="6" t="s">
        <v>653</v>
      </c>
      <c r="D432" s="6" t="s">
        <v>14</v>
      </c>
      <c r="E432" s="6" t="s">
        <v>16</v>
      </c>
      <c r="F432" s="45">
        <v>2164</v>
      </c>
      <c r="G432" s="6" t="s">
        <v>15</v>
      </c>
      <c r="H432" s="6"/>
      <c r="I432" s="65" t="s">
        <v>83</v>
      </c>
    </row>
    <row r="433" spans="1:10" ht="15.75" x14ac:dyDescent="0.25">
      <c r="A433" s="6" t="s">
        <v>33</v>
      </c>
      <c r="B433" s="5">
        <v>45528</v>
      </c>
      <c r="C433" s="6" t="s">
        <v>654</v>
      </c>
      <c r="D433" s="6" t="s">
        <v>14</v>
      </c>
      <c r="E433" s="6" t="s">
        <v>10</v>
      </c>
      <c r="F433" s="45">
        <v>301.72413793103448</v>
      </c>
      <c r="G433" s="6" t="s">
        <v>8</v>
      </c>
      <c r="H433" s="6"/>
      <c r="I433" s="65" t="s">
        <v>83</v>
      </c>
    </row>
    <row r="434" spans="1:10" ht="15.75" x14ac:dyDescent="0.25">
      <c r="A434" s="6" t="s">
        <v>33</v>
      </c>
      <c r="B434" s="5">
        <v>45531</v>
      </c>
      <c r="C434" s="6" t="s">
        <v>655</v>
      </c>
      <c r="D434" s="6" t="s">
        <v>14</v>
      </c>
      <c r="E434" s="6" t="s">
        <v>16</v>
      </c>
      <c r="F434" s="45">
        <v>2464</v>
      </c>
      <c r="G434" s="6" t="s">
        <v>15</v>
      </c>
      <c r="H434" s="6"/>
      <c r="I434" s="65" t="s">
        <v>83</v>
      </c>
    </row>
    <row r="435" spans="1:10" ht="15.75" x14ac:dyDescent="0.25">
      <c r="A435" s="6" t="s">
        <v>33</v>
      </c>
      <c r="B435" s="5">
        <v>45533</v>
      </c>
      <c r="C435" s="6" t="s">
        <v>656</v>
      </c>
      <c r="D435" s="6" t="s">
        <v>14</v>
      </c>
      <c r="E435" s="6" t="s">
        <v>11</v>
      </c>
      <c r="F435" s="45">
        <v>258.62068965517244</v>
      </c>
      <c r="G435" s="6" t="s">
        <v>15</v>
      </c>
      <c r="H435" s="6"/>
      <c r="I435" s="65" t="s">
        <v>83</v>
      </c>
    </row>
    <row r="436" spans="1:10" ht="15.75" x14ac:dyDescent="0.25">
      <c r="A436" s="6" t="s">
        <v>33</v>
      </c>
      <c r="B436" s="5">
        <v>45533</v>
      </c>
      <c r="C436" s="6" t="s">
        <v>657</v>
      </c>
      <c r="D436" s="6" t="s">
        <v>658</v>
      </c>
      <c r="E436" s="6" t="s">
        <v>18</v>
      </c>
      <c r="F436" s="45">
        <v>413.79310344827587</v>
      </c>
      <c r="G436" s="6" t="s">
        <v>8</v>
      </c>
      <c r="H436" s="6"/>
      <c r="I436" s="65" t="s">
        <v>83</v>
      </c>
    </row>
    <row r="437" spans="1:10" ht="15.75" x14ac:dyDescent="0.25">
      <c r="A437" s="6" t="s">
        <v>33</v>
      </c>
      <c r="B437" s="5">
        <v>45533</v>
      </c>
      <c r="C437" s="6" t="s">
        <v>659</v>
      </c>
      <c r="D437" s="6" t="s">
        <v>14</v>
      </c>
      <c r="E437" s="6" t="s">
        <v>16</v>
      </c>
      <c r="F437" s="45">
        <v>1443.0000000000002</v>
      </c>
      <c r="G437" s="6" t="s">
        <v>15</v>
      </c>
      <c r="H437" s="6"/>
      <c r="I437" s="65" t="s">
        <v>83</v>
      </c>
    </row>
    <row r="438" spans="1:10" ht="15.75" x14ac:dyDescent="0.25">
      <c r="A438" s="6" t="s">
        <v>33</v>
      </c>
      <c r="B438" s="5"/>
      <c r="C438" s="6" t="s">
        <v>660</v>
      </c>
      <c r="D438" s="6" t="s">
        <v>30</v>
      </c>
      <c r="E438" s="6"/>
      <c r="F438" s="45">
        <v>0</v>
      </c>
      <c r="G438" s="6"/>
      <c r="H438" s="6"/>
      <c r="I438" s="65" t="s">
        <v>83</v>
      </c>
    </row>
    <row r="439" spans="1:10" ht="15.75" x14ac:dyDescent="0.25">
      <c r="A439" s="6" t="s">
        <v>33</v>
      </c>
      <c r="B439" s="5">
        <v>45534</v>
      </c>
      <c r="C439" s="6" t="s">
        <v>661</v>
      </c>
      <c r="D439" s="6" t="s">
        <v>14</v>
      </c>
      <c r="E439" s="6" t="s">
        <v>10</v>
      </c>
      <c r="F439" s="45">
        <v>129.31034482758622</v>
      </c>
      <c r="G439" s="6" t="s">
        <v>8</v>
      </c>
      <c r="H439" s="6"/>
      <c r="I439" s="65" t="s">
        <v>83</v>
      </c>
    </row>
    <row r="440" spans="1:10" ht="15.75" x14ac:dyDescent="0.25">
      <c r="A440" s="6" t="s">
        <v>33</v>
      </c>
      <c r="B440" s="5">
        <v>45535</v>
      </c>
      <c r="C440" s="6" t="s">
        <v>662</v>
      </c>
      <c r="D440" s="6" t="s">
        <v>14</v>
      </c>
      <c r="E440" s="6" t="s">
        <v>16</v>
      </c>
      <c r="F440" s="45">
        <v>1188</v>
      </c>
      <c r="G440" s="6" t="s">
        <v>15</v>
      </c>
      <c r="H440" s="6"/>
      <c r="I440" s="65" t="s">
        <v>83</v>
      </c>
    </row>
    <row r="441" spans="1:10" ht="15.75" x14ac:dyDescent="0.25">
      <c r="A441" s="20" t="s">
        <v>33</v>
      </c>
      <c r="B441" s="19">
        <v>45540</v>
      </c>
      <c r="C441" s="20" t="s">
        <v>663</v>
      </c>
      <c r="D441" s="20" t="s">
        <v>22</v>
      </c>
      <c r="E441" s="20" t="s">
        <v>10</v>
      </c>
      <c r="F441" s="47">
        <v>1846.5517241379312</v>
      </c>
      <c r="G441" s="20" t="s">
        <v>13</v>
      </c>
      <c r="H441" s="20"/>
      <c r="I441" s="68" t="s">
        <v>83</v>
      </c>
      <c r="J441" s="8" t="s">
        <v>2044</v>
      </c>
    </row>
    <row r="442" spans="1:10" ht="15.75" x14ac:dyDescent="0.25">
      <c r="A442" s="6" t="s">
        <v>33</v>
      </c>
      <c r="B442" s="5">
        <v>45540</v>
      </c>
      <c r="C442" s="6" t="s">
        <v>664</v>
      </c>
      <c r="D442" s="6" t="s">
        <v>14</v>
      </c>
      <c r="E442" s="6" t="s">
        <v>16</v>
      </c>
      <c r="F442" s="45">
        <v>1118.0000000000002</v>
      </c>
      <c r="G442" s="6" t="s">
        <v>15</v>
      </c>
      <c r="H442" s="6"/>
      <c r="I442" s="65" t="s">
        <v>83</v>
      </c>
    </row>
    <row r="443" spans="1:10" ht="15.75" x14ac:dyDescent="0.25">
      <c r="A443" s="6" t="s">
        <v>33</v>
      </c>
      <c r="B443" s="5">
        <v>45541</v>
      </c>
      <c r="C443" s="6" t="s">
        <v>665</v>
      </c>
      <c r="D443" s="6" t="s">
        <v>666</v>
      </c>
      <c r="E443" s="6" t="s">
        <v>10</v>
      </c>
      <c r="F443" s="45">
        <v>1922.4137931034484</v>
      </c>
      <c r="G443" s="6" t="s">
        <v>8</v>
      </c>
      <c r="H443" s="6"/>
      <c r="I443" s="65" t="s">
        <v>83</v>
      </c>
    </row>
    <row r="444" spans="1:10" ht="15.75" x14ac:dyDescent="0.25">
      <c r="A444" s="6" t="s">
        <v>33</v>
      </c>
      <c r="B444" s="5">
        <v>45541</v>
      </c>
      <c r="C444" s="6" t="s">
        <v>667</v>
      </c>
      <c r="D444" s="6" t="s">
        <v>14</v>
      </c>
      <c r="E444" s="6" t="s">
        <v>11</v>
      </c>
      <c r="F444" s="45">
        <v>258.62068965517244</v>
      </c>
      <c r="G444" s="6" t="s">
        <v>15</v>
      </c>
      <c r="H444" s="6"/>
      <c r="I444" s="65" t="s">
        <v>83</v>
      </c>
    </row>
    <row r="445" spans="1:10" ht="15.75" x14ac:dyDescent="0.25">
      <c r="A445" s="6" t="s">
        <v>33</v>
      </c>
      <c r="B445" s="5">
        <v>45541</v>
      </c>
      <c r="C445" s="6" t="s">
        <v>668</v>
      </c>
      <c r="D445" s="6" t="s">
        <v>14</v>
      </c>
      <c r="E445" s="6" t="s">
        <v>16</v>
      </c>
      <c r="F445" s="45">
        <v>2800</v>
      </c>
      <c r="G445" s="6" t="s">
        <v>15</v>
      </c>
      <c r="H445" s="6"/>
      <c r="I445" s="65" t="s">
        <v>83</v>
      </c>
    </row>
    <row r="446" spans="1:10" ht="15.75" x14ac:dyDescent="0.25">
      <c r="A446" s="6" t="s">
        <v>33</v>
      </c>
      <c r="B446" s="5">
        <v>45542</v>
      </c>
      <c r="C446" s="6" t="s">
        <v>669</v>
      </c>
      <c r="D446" s="6" t="s">
        <v>14</v>
      </c>
      <c r="E446" s="6" t="s">
        <v>16</v>
      </c>
      <c r="F446" s="45">
        <v>1444</v>
      </c>
      <c r="G446" s="6" t="s">
        <v>15</v>
      </c>
      <c r="H446" s="6"/>
      <c r="I446" s="65" t="s">
        <v>83</v>
      </c>
    </row>
    <row r="447" spans="1:10" ht="15.75" x14ac:dyDescent="0.25">
      <c r="A447" s="6" t="s">
        <v>33</v>
      </c>
      <c r="B447" s="5">
        <v>45542</v>
      </c>
      <c r="C447" s="6" t="s">
        <v>670</v>
      </c>
      <c r="D447" s="6" t="s">
        <v>14</v>
      </c>
      <c r="E447" s="6" t="s">
        <v>11</v>
      </c>
      <c r="F447" s="45">
        <v>258.62068965517244</v>
      </c>
      <c r="G447" s="6" t="s">
        <v>15</v>
      </c>
      <c r="H447" s="6"/>
      <c r="I447" s="65" t="s">
        <v>83</v>
      </c>
    </row>
    <row r="448" spans="1:10" ht="15.75" x14ac:dyDescent="0.25">
      <c r="A448" s="6" t="s">
        <v>33</v>
      </c>
      <c r="B448" s="5">
        <v>45544</v>
      </c>
      <c r="C448" s="6" t="s">
        <v>671</v>
      </c>
      <c r="D448" s="6" t="s">
        <v>14</v>
      </c>
      <c r="E448" s="6" t="s">
        <v>16</v>
      </c>
      <c r="F448" s="45">
        <v>2671.0000000000005</v>
      </c>
      <c r="G448" s="6" t="s">
        <v>15</v>
      </c>
      <c r="H448" s="6"/>
      <c r="I448" s="65" t="s">
        <v>83</v>
      </c>
    </row>
    <row r="449" spans="1:9" ht="15.75" x14ac:dyDescent="0.25">
      <c r="A449" s="6" t="s">
        <v>33</v>
      </c>
      <c r="B449" s="5">
        <v>45545</v>
      </c>
      <c r="C449" s="6" t="s">
        <v>672</v>
      </c>
      <c r="D449" s="6" t="s">
        <v>22</v>
      </c>
      <c r="E449" s="6" t="s">
        <v>18</v>
      </c>
      <c r="F449" s="45">
        <v>4072.5</v>
      </c>
      <c r="G449" s="6" t="s">
        <v>34</v>
      </c>
      <c r="H449" s="6"/>
      <c r="I449" s="65" t="s">
        <v>83</v>
      </c>
    </row>
    <row r="450" spans="1:9" ht="15.75" x14ac:dyDescent="0.25">
      <c r="A450" s="6" t="s">
        <v>33</v>
      </c>
      <c r="B450" s="5">
        <v>45545</v>
      </c>
      <c r="C450" s="6" t="s">
        <v>673</v>
      </c>
      <c r="D450" s="6" t="s">
        <v>22</v>
      </c>
      <c r="E450" s="6" t="s">
        <v>10</v>
      </c>
      <c r="F450" s="45">
        <v>12843</v>
      </c>
      <c r="G450" s="6" t="s">
        <v>34</v>
      </c>
      <c r="H450" s="6"/>
      <c r="I450" s="65" t="s">
        <v>83</v>
      </c>
    </row>
    <row r="451" spans="1:9" ht="15.75" x14ac:dyDescent="0.25">
      <c r="A451" s="6" t="s">
        <v>33</v>
      </c>
      <c r="B451" s="5">
        <v>45545</v>
      </c>
      <c r="C451" s="6" t="s">
        <v>674</v>
      </c>
      <c r="D451" s="6" t="s">
        <v>22</v>
      </c>
      <c r="E451" s="6" t="s">
        <v>18</v>
      </c>
      <c r="F451" s="45">
        <v>361.80172413793105</v>
      </c>
      <c r="G451" s="6" t="s">
        <v>34</v>
      </c>
      <c r="H451" s="6"/>
      <c r="I451" s="65" t="s">
        <v>83</v>
      </c>
    </row>
    <row r="452" spans="1:9" ht="15.75" x14ac:dyDescent="0.25">
      <c r="A452" s="6" t="s">
        <v>33</v>
      </c>
      <c r="B452" s="5">
        <v>45545</v>
      </c>
      <c r="C452" s="6" t="s">
        <v>675</v>
      </c>
      <c r="D452" s="6" t="s">
        <v>22</v>
      </c>
      <c r="E452" s="6" t="s">
        <v>10</v>
      </c>
      <c r="F452" s="45">
        <v>679.50000000000011</v>
      </c>
      <c r="G452" s="6" t="s">
        <v>34</v>
      </c>
      <c r="H452" s="6"/>
      <c r="I452" s="65" t="s">
        <v>83</v>
      </c>
    </row>
    <row r="453" spans="1:9" ht="15.75" x14ac:dyDescent="0.25">
      <c r="A453" s="6" t="s">
        <v>33</v>
      </c>
      <c r="B453" s="5">
        <v>45545</v>
      </c>
      <c r="C453" s="6" t="s">
        <v>676</v>
      </c>
      <c r="D453" s="6" t="s">
        <v>22</v>
      </c>
      <c r="E453" s="6" t="s">
        <v>10</v>
      </c>
      <c r="F453" s="45">
        <v>9828</v>
      </c>
      <c r="G453" s="6" t="s">
        <v>34</v>
      </c>
      <c r="H453" s="6"/>
      <c r="I453" s="65" t="s">
        <v>83</v>
      </c>
    </row>
    <row r="454" spans="1:9" ht="15.75" x14ac:dyDescent="0.25">
      <c r="A454" s="6" t="s">
        <v>33</v>
      </c>
      <c r="B454" s="5">
        <v>45545</v>
      </c>
      <c r="C454" s="6" t="s">
        <v>677</v>
      </c>
      <c r="D454" s="7" t="s">
        <v>678</v>
      </c>
      <c r="E454" s="6" t="s">
        <v>27</v>
      </c>
      <c r="F454" s="45">
        <v>650</v>
      </c>
      <c r="G454" s="7" t="s">
        <v>15</v>
      </c>
      <c r="H454" s="6"/>
      <c r="I454" s="65" t="s">
        <v>83</v>
      </c>
    </row>
    <row r="455" spans="1:9" ht="15.75" x14ac:dyDescent="0.25">
      <c r="A455" s="6" t="s">
        <v>33</v>
      </c>
      <c r="B455" s="5">
        <v>45545</v>
      </c>
      <c r="C455" s="6" t="s">
        <v>679</v>
      </c>
      <c r="D455" s="6" t="s">
        <v>28</v>
      </c>
      <c r="E455" s="6" t="s">
        <v>10</v>
      </c>
      <c r="F455" s="45">
        <v>1870</v>
      </c>
      <c r="G455" s="6" t="s">
        <v>13</v>
      </c>
      <c r="H455" s="6"/>
      <c r="I455" s="65" t="s">
        <v>83</v>
      </c>
    </row>
    <row r="456" spans="1:9" ht="15.75" x14ac:dyDescent="0.25">
      <c r="A456" s="6" t="s">
        <v>33</v>
      </c>
      <c r="B456" s="5">
        <v>45545</v>
      </c>
      <c r="C456" s="6" t="s">
        <v>680</v>
      </c>
      <c r="D456" s="6" t="s">
        <v>666</v>
      </c>
      <c r="E456" s="6" t="s">
        <v>18</v>
      </c>
      <c r="F456" s="45">
        <v>362.06896551724139</v>
      </c>
      <c r="G456" s="6" t="s">
        <v>15</v>
      </c>
      <c r="H456" s="6"/>
      <c r="I456" s="65" t="s">
        <v>83</v>
      </c>
    </row>
    <row r="457" spans="1:9" ht="15.75" x14ac:dyDescent="0.25">
      <c r="A457" s="6" t="s">
        <v>33</v>
      </c>
      <c r="B457" s="5">
        <v>45546</v>
      </c>
      <c r="C457" s="6" t="s">
        <v>681</v>
      </c>
      <c r="D457" s="6" t="s">
        <v>14</v>
      </c>
      <c r="E457" s="6" t="s">
        <v>10</v>
      </c>
      <c r="F457" s="45">
        <v>530.17241379310349</v>
      </c>
      <c r="G457" s="6" t="s">
        <v>8</v>
      </c>
      <c r="H457" s="6"/>
      <c r="I457" s="65" t="s">
        <v>83</v>
      </c>
    </row>
    <row r="458" spans="1:9" ht="15.75" x14ac:dyDescent="0.25">
      <c r="A458" s="6" t="s">
        <v>33</v>
      </c>
      <c r="B458" s="5">
        <v>45546</v>
      </c>
      <c r="C458" s="6" t="s">
        <v>682</v>
      </c>
      <c r="D458" s="6" t="s">
        <v>683</v>
      </c>
      <c r="E458" s="6" t="s">
        <v>20</v>
      </c>
      <c r="F458" s="45">
        <v>2318.1034482758623</v>
      </c>
      <c r="G458" s="6" t="s">
        <v>13</v>
      </c>
      <c r="H458" s="6" t="s">
        <v>684</v>
      </c>
      <c r="I458" s="65" t="s">
        <v>83</v>
      </c>
    </row>
    <row r="459" spans="1:9" ht="15.75" x14ac:dyDescent="0.25">
      <c r="A459" s="6" t="s">
        <v>33</v>
      </c>
      <c r="B459" s="5">
        <v>45546</v>
      </c>
      <c r="C459" s="6" t="s">
        <v>685</v>
      </c>
      <c r="D459" s="6" t="s">
        <v>686</v>
      </c>
      <c r="E459" s="6" t="s">
        <v>10</v>
      </c>
      <c r="F459" s="45">
        <v>86.206896551724142</v>
      </c>
      <c r="G459" s="6" t="s">
        <v>8</v>
      </c>
      <c r="H459" s="6"/>
      <c r="I459" s="65" t="s">
        <v>83</v>
      </c>
    </row>
    <row r="460" spans="1:9" ht="15.75" x14ac:dyDescent="0.25">
      <c r="A460" s="6" t="s">
        <v>33</v>
      </c>
      <c r="B460" s="5">
        <v>45546</v>
      </c>
      <c r="C460" s="6" t="s">
        <v>687</v>
      </c>
      <c r="D460" s="6" t="s">
        <v>14</v>
      </c>
      <c r="E460" s="6" t="s">
        <v>10</v>
      </c>
      <c r="F460" s="45">
        <v>215.51724137931035</v>
      </c>
      <c r="G460" s="6" t="s">
        <v>8</v>
      </c>
      <c r="H460" s="6"/>
      <c r="I460" s="65" t="s">
        <v>83</v>
      </c>
    </row>
    <row r="461" spans="1:9" ht="15.75" x14ac:dyDescent="0.25">
      <c r="A461" s="6" t="s">
        <v>33</v>
      </c>
      <c r="B461" s="5">
        <v>45547</v>
      </c>
      <c r="C461" s="6" t="s">
        <v>688</v>
      </c>
      <c r="D461" s="6" t="s">
        <v>22</v>
      </c>
      <c r="E461" s="6"/>
      <c r="F461" s="45">
        <v>0</v>
      </c>
      <c r="G461" s="6"/>
      <c r="H461" s="6"/>
      <c r="I461" s="65" t="s">
        <v>83</v>
      </c>
    </row>
    <row r="462" spans="1:9" ht="15.75" x14ac:dyDescent="0.25">
      <c r="A462" s="6" t="s">
        <v>33</v>
      </c>
      <c r="B462" s="5">
        <v>45548</v>
      </c>
      <c r="C462" s="6" t="s">
        <v>689</v>
      </c>
      <c r="D462" s="6" t="s">
        <v>690</v>
      </c>
      <c r="E462" s="6" t="s">
        <v>10</v>
      </c>
      <c r="F462" s="45">
        <v>129.31034482758622</v>
      </c>
      <c r="G462" s="6" t="s">
        <v>8</v>
      </c>
      <c r="H462" s="6"/>
      <c r="I462" s="65" t="s">
        <v>83</v>
      </c>
    </row>
    <row r="463" spans="1:9" ht="15.75" x14ac:dyDescent="0.25">
      <c r="A463" s="6" t="s">
        <v>33</v>
      </c>
      <c r="B463" s="5">
        <v>45548</v>
      </c>
      <c r="C463" s="6" t="s">
        <v>691</v>
      </c>
      <c r="D463" s="6" t="s">
        <v>30</v>
      </c>
      <c r="E463" s="6"/>
      <c r="F463" s="45">
        <v>0</v>
      </c>
      <c r="G463" s="6"/>
      <c r="H463" s="6"/>
      <c r="I463" s="65" t="s">
        <v>83</v>
      </c>
    </row>
    <row r="464" spans="1:9" ht="15.75" x14ac:dyDescent="0.25">
      <c r="A464" s="6" t="s">
        <v>33</v>
      </c>
      <c r="B464" s="5">
        <v>45552</v>
      </c>
      <c r="C464" s="6" t="s">
        <v>692</v>
      </c>
      <c r="D464" s="6" t="s">
        <v>14</v>
      </c>
      <c r="E464" s="6" t="s">
        <v>11</v>
      </c>
      <c r="F464" s="45">
        <v>258.62068965517244</v>
      </c>
      <c r="G464" s="6" t="s">
        <v>15</v>
      </c>
      <c r="H464" s="6"/>
      <c r="I464" s="65" t="s">
        <v>83</v>
      </c>
    </row>
    <row r="465" spans="1:10" ht="15.75" x14ac:dyDescent="0.25">
      <c r="A465" s="6" t="s">
        <v>33</v>
      </c>
      <c r="B465" s="5">
        <v>45552</v>
      </c>
      <c r="C465" s="6" t="s">
        <v>693</v>
      </c>
      <c r="D465" s="6" t="s">
        <v>14</v>
      </c>
      <c r="E465" s="6" t="s">
        <v>10</v>
      </c>
      <c r="F465" s="45">
        <v>1465.5172413793105</v>
      </c>
      <c r="G465" s="6" t="s">
        <v>15</v>
      </c>
      <c r="H465" s="6"/>
      <c r="I465" s="65" t="s">
        <v>83</v>
      </c>
    </row>
    <row r="466" spans="1:10" ht="15.75" x14ac:dyDescent="0.25">
      <c r="A466" s="6" t="s">
        <v>33</v>
      </c>
      <c r="B466" s="5">
        <v>45553</v>
      </c>
      <c r="C466" s="6" t="s">
        <v>694</v>
      </c>
      <c r="D466" s="6" t="s">
        <v>695</v>
      </c>
      <c r="E466" s="6" t="s">
        <v>11</v>
      </c>
      <c r="F466" s="45">
        <v>258.62068965517244</v>
      </c>
      <c r="G466" s="6" t="s">
        <v>15</v>
      </c>
      <c r="H466" s="6"/>
      <c r="I466" s="65" t="s">
        <v>83</v>
      </c>
    </row>
    <row r="467" spans="1:10" ht="15.75" x14ac:dyDescent="0.25">
      <c r="A467" s="6" t="s">
        <v>33</v>
      </c>
      <c r="B467" s="5">
        <v>45553</v>
      </c>
      <c r="C467" s="6" t="s">
        <v>696</v>
      </c>
      <c r="D467" s="6" t="s">
        <v>14</v>
      </c>
      <c r="E467" s="6" t="s">
        <v>16</v>
      </c>
      <c r="F467" s="45">
        <v>5024.0000000000009</v>
      </c>
      <c r="G467" s="6" t="s">
        <v>15</v>
      </c>
      <c r="H467" s="6"/>
      <c r="I467" s="65" t="s">
        <v>83</v>
      </c>
    </row>
    <row r="468" spans="1:10" ht="15.75" x14ac:dyDescent="0.25">
      <c r="A468" s="6" t="s">
        <v>33</v>
      </c>
      <c r="B468" s="5">
        <v>45553</v>
      </c>
      <c r="C468" s="6" t="s">
        <v>697</v>
      </c>
      <c r="D468" s="6" t="s">
        <v>14</v>
      </c>
      <c r="E468" s="6" t="s">
        <v>11</v>
      </c>
      <c r="F468" s="45">
        <v>258.62068965517244</v>
      </c>
      <c r="G468" s="6" t="s">
        <v>15</v>
      </c>
      <c r="H468" s="6"/>
      <c r="I468" s="65" t="s">
        <v>83</v>
      </c>
    </row>
    <row r="469" spans="1:10" ht="15.75" x14ac:dyDescent="0.25">
      <c r="A469" s="6" t="s">
        <v>33</v>
      </c>
      <c r="B469" s="5">
        <v>45553</v>
      </c>
      <c r="C469" s="6" t="s">
        <v>698</v>
      </c>
      <c r="D469" s="6" t="s">
        <v>699</v>
      </c>
      <c r="E469" s="6" t="s">
        <v>16</v>
      </c>
      <c r="F469" s="45">
        <v>2264</v>
      </c>
      <c r="G469" s="6" t="s">
        <v>15</v>
      </c>
      <c r="H469" s="6"/>
      <c r="I469" s="65" t="s">
        <v>83</v>
      </c>
    </row>
    <row r="470" spans="1:10" ht="15.75" x14ac:dyDescent="0.25">
      <c r="A470" s="6" t="s">
        <v>33</v>
      </c>
      <c r="B470" s="5">
        <v>45553</v>
      </c>
      <c r="C470" s="6" t="s">
        <v>700</v>
      </c>
      <c r="D470" s="6" t="s">
        <v>701</v>
      </c>
      <c r="E470" s="6" t="s">
        <v>10</v>
      </c>
      <c r="F470" s="45">
        <v>952.58620689655174</v>
      </c>
      <c r="G470" s="6" t="s">
        <v>8</v>
      </c>
      <c r="H470" s="6"/>
      <c r="I470" s="65" t="s">
        <v>83</v>
      </c>
    </row>
    <row r="471" spans="1:10" ht="15.75" x14ac:dyDescent="0.25">
      <c r="A471" s="6" t="s">
        <v>33</v>
      </c>
      <c r="B471" s="5">
        <v>45554</v>
      </c>
      <c r="C471" s="6" t="s">
        <v>702</v>
      </c>
      <c r="D471" s="6" t="s">
        <v>14</v>
      </c>
      <c r="E471" s="6" t="s">
        <v>16</v>
      </c>
      <c r="F471" s="45">
        <v>2029.7241379310346</v>
      </c>
      <c r="G471" s="6" t="s">
        <v>15</v>
      </c>
      <c r="H471" s="6"/>
      <c r="I471" s="65" t="s">
        <v>83</v>
      </c>
    </row>
    <row r="472" spans="1:10" ht="15.75" x14ac:dyDescent="0.25">
      <c r="A472" s="6" t="s">
        <v>33</v>
      </c>
      <c r="B472" s="5">
        <v>45554</v>
      </c>
      <c r="C472" s="6" t="s">
        <v>703</v>
      </c>
      <c r="D472" s="6" t="s">
        <v>704</v>
      </c>
      <c r="E472" s="6" t="s">
        <v>16</v>
      </c>
      <c r="F472" s="45">
        <v>5630.3965517241386</v>
      </c>
      <c r="G472" s="6" t="s">
        <v>513</v>
      </c>
      <c r="H472" s="6"/>
      <c r="I472" s="65" t="s">
        <v>83</v>
      </c>
    </row>
    <row r="473" spans="1:10" ht="15.75" x14ac:dyDescent="0.25">
      <c r="A473" s="6" t="s">
        <v>33</v>
      </c>
      <c r="B473" s="5">
        <v>45554</v>
      </c>
      <c r="C473" s="6" t="s">
        <v>705</v>
      </c>
      <c r="D473" s="6" t="s">
        <v>704</v>
      </c>
      <c r="E473" s="6" t="s">
        <v>10</v>
      </c>
      <c r="F473" s="45">
        <v>4380.4827586206893</v>
      </c>
      <c r="G473" s="6" t="s">
        <v>513</v>
      </c>
      <c r="H473" s="6"/>
      <c r="I473" s="65" t="s">
        <v>83</v>
      </c>
    </row>
    <row r="474" spans="1:10" ht="15.75" x14ac:dyDescent="0.25">
      <c r="A474" s="6" t="s">
        <v>33</v>
      </c>
      <c r="B474" s="5">
        <v>45554</v>
      </c>
      <c r="C474" s="6" t="s">
        <v>706</v>
      </c>
      <c r="D474" s="6" t="s">
        <v>707</v>
      </c>
      <c r="E474" s="6" t="s">
        <v>10</v>
      </c>
      <c r="F474" s="45">
        <v>6762.0000000000009</v>
      </c>
      <c r="G474" s="6" t="s">
        <v>13</v>
      </c>
      <c r="H474" s="6"/>
      <c r="I474" s="65" t="s">
        <v>83</v>
      </c>
    </row>
    <row r="475" spans="1:10" ht="15.75" x14ac:dyDescent="0.25">
      <c r="A475" s="20" t="s">
        <v>33</v>
      </c>
      <c r="B475" s="19">
        <v>45554</v>
      </c>
      <c r="C475" s="20" t="s">
        <v>708</v>
      </c>
      <c r="D475" s="20" t="s">
        <v>22</v>
      </c>
      <c r="E475" s="20" t="s">
        <v>23</v>
      </c>
      <c r="F475" s="47">
        <v>22827.586206896554</v>
      </c>
      <c r="G475" s="20" t="s">
        <v>47</v>
      </c>
      <c r="H475" s="20" t="s">
        <v>709</v>
      </c>
      <c r="I475" s="68" t="s">
        <v>83</v>
      </c>
      <c r="J475" s="8" t="s">
        <v>2045</v>
      </c>
    </row>
    <row r="476" spans="1:10" ht="15.75" x14ac:dyDescent="0.25">
      <c r="A476" s="6" t="s">
        <v>33</v>
      </c>
      <c r="B476" s="5">
        <v>45555</v>
      </c>
      <c r="C476" s="6" t="s">
        <v>710</v>
      </c>
      <c r="D476" s="6" t="s">
        <v>25</v>
      </c>
      <c r="E476" s="6" t="s">
        <v>711</v>
      </c>
      <c r="F476" s="45">
        <v>970.00000000000011</v>
      </c>
      <c r="G476" s="7" t="s">
        <v>15</v>
      </c>
      <c r="H476" s="6"/>
      <c r="I476" s="65" t="s">
        <v>83</v>
      </c>
    </row>
    <row r="477" spans="1:10" ht="15.75" x14ac:dyDescent="0.25">
      <c r="A477" s="6" t="s">
        <v>33</v>
      </c>
      <c r="B477" s="5">
        <v>45558</v>
      </c>
      <c r="C477" s="6" t="s">
        <v>712</v>
      </c>
      <c r="D477" s="6" t="s">
        <v>14</v>
      </c>
      <c r="E477" s="6" t="s">
        <v>11</v>
      </c>
      <c r="F477" s="45">
        <v>258.62068965517244</v>
      </c>
      <c r="G477" s="6" t="s">
        <v>15</v>
      </c>
      <c r="H477" s="6"/>
      <c r="I477" s="65" t="s">
        <v>83</v>
      </c>
    </row>
    <row r="478" spans="1:10" ht="15.75" x14ac:dyDescent="0.25">
      <c r="A478" s="6" t="s">
        <v>33</v>
      </c>
      <c r="B478" s="5">
        <v>45558</v>
      </c>
      <c r="C478" s="6" t="s">
        <v>713</v>
      </c>
      <c r="D478" s="6" t="s">
        <v>14</v>
      </c>
      <c r="E478" s="6" t="s">
        <v>18</v>
      </c>
      <c r="F478" s="45">
        <v>672.41379310344837</v>
      </c>
      <c r="G478" s="6" t="s">
        <v>15</v>
      </c>
      <c r="H478" s="6"/>
      <c r="I478" s="65" t="s">
        <v>83</v>
      </c>
    </row>
    <row r="479" spans="1:10" ht="15.75" x14ac:dyDescent="0.25">
      <c r="A479" s="6" t="s">
        <v>33</v>
      </c>
      <c r="B479" s="5">
        <v>45559</v>
      </c>
      <c r="C479" s="6" t="s">
        <v>714</v>
      </c>
      <c r="D479" s="6" t="s">
        <v>30</v>
      </c>
      <c r="E479" s="6"/>
      <c r="F479" s="45">
        <v>0</v>
      </c>
      <c r="G479" s="6"/>
      <c r="H479" s="6"/>
      <c r="I479" s="65" t="s">
        <v>83</v>
      </c>
    </row>
    <row r="480" spans="1:10" ht="15.75" x14ac:dyDescent="0.25">
      <c r="A480" s="6" t="s">
        <v>33</v>
      </c>
      <c r="B480" s="5">
        <v>45559</v>
      </c>
      <c r="C480" s="6" t="s">
        <v>715</v>
      </c>
      <c r="D480" s="6" t="s">
        <v>14</v>
      </c>
      <c r="E480" s="6" t="s">
        <v>10</v>
      </c>
      <c r="F480" s="45">
        <v>918.00000000000011</v>
      </c>
      <c r="G480" s="6" t="s">
        <v>13</v>
      </c>
      <c r="H480" s="6"/>
      <c r="I480" s="65" t="s">
        <v>83</v>
      </c>
    </row>
    <row r="481" spans="1:9" ht="15.75" x14ac:dyDescent="0.25">
      <c r="A481" s="6" t="s">
        <v>33</v>
      </c>
      <c r="B481" s="5">
        <v>45559</v>
      </c>
      <c r="C481" s="6" t="s">
        <v>716</v>
      </c>
      <c r="D481" s="6" t="s">
        <v>14</v>
      </c>
      <c r="E481" s="6" t="s">
        <v>10</v>
      </c>
      <c r="F481" s="45">
        <v>1465.5172413793105</v>
      </c>
      <c r="G481" s="6" t="s">
        <v>8</v>
      </c>
      <c r="H481" s="6"/>
      <c r="I481" s="65" t="s">
        <v>83</v>
      </c>
    </row>
    <row r="482" spans="1:9" ht="15.75" x14ac:dyDescent="0.25">
      <c r="A482" s="6" t="s">
        <v>33</v>
      </c>
      <c r="B482" s="5">
        <v>45559</v>
      </c>
      <c r="C482" s="6" t="s">
        <v>717</v>
      </c>
      <c r="D482" s="6" t="s">
        <v>32</v>
      </c>
      <c r="E482" s="6" t="s">
        <v>23</v>
      </c>
      <c r="F482" s="45">
        <v>29800.000000000004</v>
      </c>
      <c r="G482" s="6" t="s">
        <v>13</v>
      </c>
      <c r="H482" s="6" t="s">
        <v>718</v>
      </c>
      <c r="I482" s="65" t="s">
        <v>83</v>
      </c>
    </row>
    <row r="483" spans="1:9" ht="15.75" x14ac:dyDescent="0.25">
      <c r="A483" s="6" t="s">
        <v>33</v>
      </c>
      <c r="B483" s="5">
        <v>45559</v>
      </c>
      <c r="C483" s="6" t="s">
        <v>719</v>
      </c>
      <c r="D483" s="6" t="s">
        <v>14</v>
      </c>
      <c r="E483" s="6" t="s">
        <v>10</v>
      </c>
      <c r="F483" s="45">
        <v>301.72413793103448</v>
      </c>
      <c r="G483" s="6" t="s">
        <v>8</v>
      </c>
      <c r="H483" s="6"/>
      <c r="I483" s="65" t="s">
        <v>83</v>
      </c>
    </row>
    <row r="484" spans="1:9" ht="15.75" x14ac:dyDescent="0.25">
      <c r="A484" s="6" t="s">
        <v>33</v>
      </c>
      <c r="B484" s="5">
        <v>45559</v>
      </c>
      <c r="C484" s="6" t="s">
        <v>720</v>
      </c>
      <c r="D484" s="6" t="s">
        <v>14</v>
      </c>
      <c r="E484" s="6" t="s">
        <v>10</v>
      </c>
      <c r="F484" s="45">
        <v>86.206896551724142</v>
      </c>
      <c r="G484" s="6" t="s">
        <v>8</v>
      </c>
      <c r="H484" s="6"/>
      <c r="I484" s="65" t="s">
        <v>83</v>
      </c>
    </row>
    <row r="485" spans="1:9" ht="15.75" x14ac:dyDescent="0.25">
      <c r="A485" s="6" t="s">
        <v>33</v>
      </c>
      <c r="B485" s="5">
        <v>45559</v>
      </c>
      <c r="C485" s="6" t="s">
        <v>721</v>
      </c>
      <c r="D485" s="6" t="s">
        <v>619</v>
      </c>
      <c r="E485" s="6" t="s">
        <v>16</v>
      </c>
      <c r="F485" s="45">
        <v>4258</v>
      </c>
      <c r="G485" s="6" t="s">
        <v>15</v>
      </c>
      <c r="H485" s="6"/>
      <c r="I485" s="65" t="s">
        <v>83</v>
      </c>
    </row>
    <row r="486" spans="1:9" ht="15.75" x14ac:dyDescent="0.25">
      <c r="A486" s="6" t="s">
        <v>33</v>
      </c>
      <c r="B486" s="5">
        <v>45559</v>
      </c>
      <c r="C486" s="6" t="s">
        <v>722</v>
      </c>
      <c r="D486" s="6" t="s">
        <v>704</v>
      </c>
      <c r="E486" s="6" t="s">
        <v>10</v>
      </c>
      <c r="F486" s="45">
        <v>3095.1982758620688</v>
      </c>
      <c r="G486" s="6" t="s">
        <v>513</v>
      </c>
      <c r="H486" s="6"/>
      <c r="I486" s="65" t="s">
        <v>83</v>
      </c>
    </row>
    <row r="487" spans="1:9" ht="15.75" x14ac:dyDescent="0.25">
      <c r="A487" s="6" t="s">
        <v>33</v>
      </c>
      <c r="B487" s="5">
        <v>45560</v>
      </c>
      <c r="C487" s="6" t="s">
        <v>723</v>
      </c>
      <c r="D487" s="6" t="s">
        <v>14</v>
      </c>
      <c r="E487" s="6" t="s">
        <v>16</v>
      </c>
      <c r="F487" s="45">
        <v>5206</v>
      </c>
      <c r="G487" s="6" t="s">
        <v>15</v>
      </c>
      <c r="H487" s="6"/>
      <c r="I487" s="65" t="s">
        <v>83</v>
      </c>
    </row>
    <row r="488" spans="1:9" ht="15.75" x14ac:dyDescent="0.25">
      <c r="A488" s="6" t="s">
        <v>33</v>
      </c>
      <c r="B488" s="5">
        <v>45561</v>
      </c>
      <c r="C488" s="6" t="s">
        <v>724</v>
      </c>
      <c r="D488" s="6" t="s">
        <v>88</v>
      </c>
      <c r="E488" s="6"/>
      <c r="F488" s="45">
        <v>0</v>
      </c>
      <c r="G488" s="6"/>
      <c r="H488" s="6"/>
      <c r="I488" s="65" t="s">
        <v>83</v>
      </c>
    </row>
    <row r="489" spans="1:9" ht="15.75" x14ac:dyDescent="0.25">
      <c r="A489" s="6" t="s">
        <v>33</v>
      </c>
      <c r="B489" s="5">
        <v>45561</v>
      </c>
      <c r="C489" s="6" t="s">
        <v>725</v>
      </c>
      <c r="D489" s="6" t="s">
        <v>14</v>
      </c>
      <c r="E489" s="6" t="s">
        <v>16</v>
      </c>
      <c r="F489" s="45">
        <v>1624</v>
      </c>
      <c r="G489" s="6" t="s">
        <v>15</v>
      </c>
      <c r="H489" s="6"/>
      <c r="I489" s="65" t="s">
        <v>83</v>
      </c>
    </row>
    <row r="490" spans="1:9" ht="15.75" x14ac:dyDescent="0.25">
      <c r="A490" s="6" t="s">
        <v>33</v>
      </c>
      <c r="B490" s="5">
        <v>45561</v>
      </c>
      <c r="C490" s="6" t="s">
        <v>726</v>
      </c>
      <c r="D490" s="6" t="s">
        <v>727</v>
      </c>
      <c r="E490" s="6" t="s">
        <v>23</v>
      </c>
      <c r="F490" s="45">
        <v>26100</v>
      </c>
      <c r="G490" s="6" t="s">
        <v>13</v>
      </c>
      <c r="H490" s="6" t="s">
        <v>63</v>
      </c>
      <c r="I490" s="65" t="s">
        <v>83</v>
      </c>
    </row>
    <row r="491" spans="1:9" ht="15.75" x14ac:dyDescent="0.25">
      <c r="A491" s="6" t="s">
        <v>33</v>
      </c>
      <c r="B491" s="5">
        <v>45562</v>
      </c>
      <c r="C491" s="6" t="s">
        <v>728</v>
      </c>
      <c r="D491" s="6" t="s">
        <v>666</v>
      </c>
      <c r="E491" s="6" t="s">
        <v>711</v>
      </c>
      <c r="F491" s="45">
        <v>1731.6206896551726</v>
      </c>
      <c r="G491" s="6" t="s">
        <v>15</v>
      </c>
      <c r="H491" s="6"/>
      <c r="I491" s="65" t="s">
        <v>83</v>
      </c>
    </row>
    <row r="492" spans="1:9" ht="15.75" x14ac:dyDescent="0.25">
      <c r="A492" s="6" t="s">
        <v>33</v>
      </c>
      <c r="B492" s="5">
        <v>45562</v>
      </c>
      <c r="C492" s="6" t="s">
        <v>729</v>
      </c>
      <c r="D492" s="6" t="s">
        <v>14</v>
      </c>
      <c r="E492" s="6" t="s">
        <v>11</v>
      </c>
      <c r="F492" s="45">
        <v>258.62068965517244</v>
      </c>
      <c r="G492" s="6" t="s">
        <v>15</v>
      </c>
      <c r="H492" s="6"/>
      <c r="I492" s="65" t="s">
        <v>83</v>
      </c>
    </row>
    <row r="493" spans="1:9" ht="15.75" x14ac:dyDescent="0.25">
      <c r="A493" s="6" t="s">
        <v>33</v>
      </c>
      <c r="B493" s="5">
        <v>45563</v>
      </c>
      <c r="C493" s="6" t="s">
        <v>730</v>
      </c>
      <c r="D493" s="6" t="s">
        <v>14</v>
      </c>
      <c r="E493" s="6" t="s">
        <v>16</v>
      </c>
      <c r="F493" s="45">
        <v>2406</v>
      </c>
      <c r="G493" s="6" t="s">
        <v>15</v>
      </c>
      <c r="H493" s="6"/>
      <c r="I493" s="65" t="s">
        <v>83</v>
      </c>
    </row>
    <row r="494" spans="1:9" ht="15.75" x14ac:dyDescent="0.25">
      <c r="A494" s="6" t="s">
        <v>33</v>
      </c>
      <c r="B494" s="5">
        <v>45563</v>
      </c>
      <c r="C494" s="6" t="s">
        <v>731</v>
      </c>
      <c r="D494" s="6" t="s">
        <v>14</v>
      </c>
      <c r="E494" s="6" t="s">
        <v>10</v>
      </c>
      <c r="F494" s="45">
        <v>1465.5172413793105</v>
      </c>
      <c r="G494" s="6" t="s">
        <v>8</v>
      </c>
      <c r="H494" s="6"/>
      <c r="I494" s="65" t="s">
        <v>83</v>
      </c>
    </row>
    <row r="495" spans="1:9" ht="15.75" x14ac:dyDescent="0.25">
      <c r="A495" s="6" t="s">
        <v>33</v>
      </c>
      <c r="B495" s="5">
        <v>45563</v>
      </c>
      <c r="C495" s="6" t="s">
        <v>732</v>
      </c>
      <c r="D495" s="6" t="s">
        <v>14</v>
      </c>
      <c r="E495" s="6" t="s">
        <v>16</v>
      </c>
      <c r="F495" s="45">
        <v>1052</v>
      </c>
      <c r="G495" s="6" t="s">
        <v>15</v>
      </c>
      <c r="H495" s="6"/>
      <c r="I495" s="65" t="s">
        <v>83</v>
      </c>
    </row>
    <row r="496" spans="1:9" ht="15.75" x14ac:dyDescent="0.25">
      <c r="A496" s="6" t="s">
        <v>33</v>
      </c>
      <c r="B496" s="5">
        <v>45563</v>
      </c>
      <c r="C496" s="6" t="s">
        <v>733</v>
      </c>
      <c r="D496" s="6" t="s">
        <v>14</v>
      </c>
      <c r="E496" s="6" t="s">
        <v>11</v>
      </c>
      <c r="F496" s="45">
        <v>258.62068965517244</v>
      </c>
      <c r="G496" s="6" t="s">
        <v>15</v>
      </c>
      <c r="H496" s="6"/>
      <c r="I496" s="65" t="s">
        <v>83</v>
      </c>
    </row>
    <row r="497" spans="1:9" ht="15.75" x14ac:dyDescent="0.25">
      <c r="A497" s="6" t="s">
        <v>33</v>
      </c>
      <c r="B497" s="5">
        <v>45565</v>
      </c>
      <c r="C497" s="6" t="s">
        <v>734</v>
      </c>
      <c r="D497" s="6" t="s">
        <v>14</v>
      </c>
      <c r="E497" s="6" t="s">
        <v>10</v>
      </c>
      <c r="F497" s="45">
        <v>991.37931034482767</v>
      </c>
      <c r="G497" s="6" t="s">
        <v>8</v>
      </c>
      <c r="H497" s="6"/>
      <c r="I497" s="65" t="s">
        <v>83</v>
      </c>
    </row>
    <row r="498" spans="1:9" ht="15.75" x14ac:dyDescent="0.25">
      <c r="A498" s="6" t="s">
        <v>33</v>
      </c>
      <c r="B498" s="5">
        <v>45565</v>
      </c>
      <c r="C498" s="6" t="s">
        <v>735</v>
      </c>
      <c r="D498" s="6" t="s">
        <v>62</v>
      </c>
      <c r="E498" s="6" t="s">
        <v>10</v>
      </c>
      <c r="F498" s="45">
        <v>405.17241379310349</v>
      </c>
      <c r="G498" s="6" t="s">
        <v>8</v>
      </c>
      <c r="H498" s="6"/>
      <c r="I498" s="65" t="s">
        <v>83</v>
      </c>
    </row>
    <row r="499" spans="1:9" ht="15.75" x14ac:dyDescent="0.25">
      <c r="A499" s="6" t="s">
        <v>33</v>
      </c>
      <c r="B499" s="5">
        <v>45565</v>
      </c>
      <c r="C499" s="6" t="s">
        <v>736</v>
      </c>
      <c r="D499" s="6" t="s">
        <v>14</v>
      </c>
      <c r="E499" s="6" t="s">
        <v>10</v>
      </c>
      <c r="F499" s="45">
        <v>629.72413793103453</v>
      </c>
      <c r="G499" s="6" t="s">
        <v>8</v>
      </c>
      <c r="H499" s="6"/>
      <c r="I499" s="65" t="s">
        <v>83</v>
      </c>
    </row>
    <row r="500" spans="1:9" ht="15.75" x14ac:dyDescent="0.25">
      <c r="A500" s="6" t="s">
        <v>33</v>
      </c>
      <c r="B500" s="5">
        <v>45565</v>
      </c>
      <c r="C500" s="6" t="s">
        <v>737</v>
      </c>
      <c r="D500" s="6" t="s">
        <v>14</v>
      </c>
      <c r="E500" s="6" t="s">
        <v>11</v>
      </c>
      <c r="F500" s="45">
        <v>258.62068965517244</v>
      </c>
      <c r="G500" s="6" t="s">
        <v>15</v>
      </c>
      <c r="H500" s="6"/>
      <c r="I500" s="65" t="s">
        <v>83</v>
      </c>
    </row>
    <row r="501" spans="1:9" ht="15.75" x14ac:dyDescent="0.25">
      <c r="A501" s="6" t="s">
        <v>33</v>
      </c>
      <c r="B501" s="5">
        <v>45567</v>
      </c>
      <c r="C501" s="6" t="s">
        <v>738</v>
      </c>
      <c r="D501" s="6" t="s">
        <v>14</v>
      </c>
      <c r="E501" s="6" t="s">
        <v>16</v>
      </c>
      <c r="F501" s="45">
        <v>1417.0000000000002</v>
      </c>
      <c r="G501" s="6" t="s">
        <v>15</v>
      </c>
      <c r="H501" s="6"/>
      <c r="I501" s="65" t="s">
        <v>83</v>
      </c>
    </row>
    <row r="502" spans="1:9" ht="15.75" x14ac:dyDescent="0.25">
      <c r="A502" s="6" t="s">
        <v>33</v>
      </c>
      <c r="B502" s="5">
        <v>45568</v>
      </c>
      <c r="C502" s="6" t="s">
        <v>739</v>
      </c>
      <c r="D502" s="6" t="s">
        <v>740</v>
      </c>
      <c r="E502" s="6" t="s">
        <v>10</v>
      </c>
      <c r="F502" s="45">
        <v>560.35</v>
      </c>
      <c r="G502" s="6" t="s">
        <v>8</v>
      </c>
      <c r="H502" s="6"/>
      <c r="I502" s="65" t="s">
        <v>83</v>
      </c>
    </row>
    <row r="503" spans="1:9" ht="15.75" x14ac:dyDescent="0.25">
      <c r="A503" s="6" t="s">
        <v>33</v>
      </c>
      <c r="B503" s="5">
        <v>45568</v>
      </c>
      <c r="C503" s="6" t="s">
        <v>741</v>
      </c>
      <c r="D503" s="6" t="s">
        <v>742</v>
      </c>
      <c r="E503" s="6" t="s">
        <v>23</v>
      </c>
      <c r="F503" s="45">
        <v>7500.0000000000009</v>
      </c>
      <c r="G503" s="6" t="s">
        <v>13</v>
      </c>
      <c r="H503" s="6" t="s">
        <v>54</v>
      </c>
      <c r="I503" s="65" t="s">
        <v>83</v>
      </c>
    </row>
    <row r="504" spans="1:9" ht="15.75" x14ac:dyDescent="0.25">
      <c r="A504" s="6" t="s">
        <v>33</v>
      </c>
      <c r="B504" s="5">
        <v>45568</v>
      </c>
      <c r="C504" s="6" t="s">
        <v>743</v>
      </c>
      <c r="D504" s="6" t="s">
        <v>744</v>
      </c>
      <c r="E504" s="6" t="s">
        <v>10</v>
      </c>
      <c r="F504" s="45">
        <v>1318.9741379310346</v>
      </c>
      <c r="G504" s="6" t="s">
        <v>8</v>
      </c>
      <c r="H504" s="6"/>
      <c r="I504" s="65" t="s">
        <v>83</v>
      </c>
    </row>
    <row r="505" spans="1:9" ht="15.75" x14ac:dyDescent="0.25">
      <c r="A505" s="6" t="s">
        <v>33</v>
      </c>
      <c r="B505" s="5">
        <v>45568</v>
      </c>
      <c r="C505" s="6" t="s">
        <v>745</v>
      </c>
      <c r="D505" s="6" t="s">
        <v>744</v>
      </c>
      <c r="E505" s="6" t="s">
        <v>10</v>
      </c>
      <c r="F505" s="45">
        <v>474.13793103448279</v>
      </c>
      <c r="G505" s="6" t="s">
        <v>8</v>
      </c>
      <c r="H505" s="6"/>
      <c r="I505" s="65" t="s">
        <v>83</v>
      </c>
    </row>
    <row r="506" spans="1:9" ht="15.75" x14ac:dyDescent="0.25">
      <c r="A506" s="6" t="s">
        <v>33</v>
      </c>
      <c r="B506" s="5">
        <v>45568</v>
      </c>
      <c r="C506" s="6" t="s">
        <v>746</v>
      </c>
      <c r="D506" s="6" t="s">
        <v>14</v>
      </c>
      <c r="E506" s="6" t="s">
        <v>10</v>
      </c>
      <c r="F506" s="45">
        <v>1318.9741379310346</v>
      </c>
      <c r="G506" s="6" t="s">
        <v>8</v>
      </c>
      <c r="H506" s="6"/>
      <c r="I506" s="65" t="s">
        <v>83</v>
      </c>
    </row>
    <row r="507" spans="1:9" ht="15.75" x14ac:dyDescent="0.25">
      <c r="A507" s="6" t="s">
        <v>33</v>
      </c>
      <c r="B507" s="5">
        <v>45568</v>
      </c>
      <c r="C507" s="6" t="s">
        <v>747</v>
      </c>
      <c r="D507" s="6" t="s">
        <v>14</v>
      </c>
      <c r="E507" s="6" t="s">
        <v>10</v>
      </c>
      <c r="F507" s="45">
        <v>2000.0000000000002</v>
      </c>
      <c r="G507" s="6" t="s">
        <v>8</v>
      </c>
      <c r="H507" s="6"/>
      <c r="I507" s="65" t="s">
        <v>83</v>
      </c>
    </row>
    <row r="508" spans="1:9" ht="15.75" x14ac:dyDescent="0.25">
      <c r="A508" s="6" t="s">
        <v>33</v>
      </c>
      <c r="B508" s="5">
        <v>45568</v>
      </c>
      <c r="C508" s="6" t="s">
        <v>748</v>
      </c>
      <c r="D508" s="6" t="s">
        <v>14</v>
      </c>
      <c r="E508" s="6" t="s">
        <v>10</v>
      </c>
      <c r="F508" s="45">
        <v>3017.2413793103451</v>
      </c>
      <c r="G508" s="6" t="s">
        <v>8</v>
      </c>
      <c r="H508" s="6"/>
      <c r="I508" s="65" t="s">
        <v>83</v>
      </c>
    </row>
    <row r="509" spans="1:9" ht="15.75" x14ac:dyDescent="0.25">
      <c r="A509" s="6" t="s">
        <v>33</v>
      </c>
      <c r="B509" s="5">
        <v>45568</v>
      </c>
      <c r="C509" s="6" t="s">
        <v>749</v>
      </c>
      <c r="D509" s="6" t="s">
        <v>22</v>
      </c>
      <c r="E509" s="6" t="s">
        <v>18</v>
      </c>
      <c r="F509" s="45">
        <v>1008</v>
      </c>
      <c r="G509" s="6" t="s">
        <v>34</v>
      </c>
      <c r="H509" s="6"/>
      <c r="I509" s="65" t="s">
        <v>83</v>
      </c>
    </row>
    <row r="510" spans="1:9" ht="15.75" x14ac:dyDescent="0.25">
      <c r="A510" s="6" t="s">
        <v>33</v>
      </c>
      <c r="B510" s="5">
        <v>45569</v>
      </c>
      <c r="C510" s="6" t="s">
        <v>750</v>
      </c>
      <c r="D510" s="6" t="s">
        <v>14</v>
      </c>
      <c r="E510" s="6" t="s">
        <v>16</v>
      </c>
      <c r="F510" s="45">
        <v>1695.0000000000002</v>
      </c>
      <c r="G510" s="6" t="s">
        <v>15</v>
      </c>
      <c r="H510" s="6"/>
      <c r="I510" s="65" t="s">
        <v>83</v>
      </c>
    </row>
    <row r="511" spans="1:9" ht="15.75" x14ac:dyDescent="0.25">
      <c r="A511" s="6" t="s">
        <v>33</v>
      </c>
      <c r="B511" s="5">
        <v>45569</v>
      </c>
      <c r="C511" s="6" t="s">
        <v>751</v>
      </c>
      <c r="D511" s="6" t="s">
        <v>14</v>
      </c>
      <c r="E511" s="6" t="s">
        <v>27</v>
      </c>
      <c r="F511" s="45">
        <v>480.17241379310349</v>
      </c>
      <c r="G511" s="6" t="s">
        <v>15</v>
      </c>
      <c r="H511" s="6"/>
      <c r="I511" s="65" t="s">
        <v>83</v>
      </c>
    </row>
    <row r="512" spans="1:9" ht="15.75" x14ac:dyDescent="0.25">
      <c r="A512" s="6" t="s">
        <v>33</v>
      </c>
      <c r="B512" s="5">
        <v>45569</v>
      </c>
      <c r="C512" s="6" t="s">
        <v>752</v>
      </c>
      <c r="D512" s="6" t="s">
        <v>14</v>
      </c>
      <c r="E512" s="6" t="s">
        <v>11</v>
      </c>
      <c r="F512" s="45">
        <v>258.62068965517244</v>
      </c>
      <c r="G512" s="6" t="s">
        <v>15</v>
      </c>
      <c r="H512" s="6"/>
      <c r="I512" s="65" t="s">
        <v>83</v>
      </c>
    </row>
    <row r="513" spans="1:9" ht="15.75" x14ac:dyDescent="0.25">
      <c r="A513" s="6" t="s">
        <v>33</v>
      </c>
      <c r="B513" s="5"/>
      <c r="C513" s="6" t="s">
        <v>753</v>
      </c>
      <c r="D513" s="6" t="s">
        <v>30</v>
      </c>
      <c r="E513" s="6"/>
      <c r="F513" s="45">
        <v>0</v>
      </c>
      <c r="G513" s="6"/>
      <c r="H513" s="6"/>
      <c r="I513" s="65" t="s">
        <v>83</v>
      </c>
    </row>
    <row r="514" spans="1:9" ht="15.75" x14ac:dyDescent="0.25">
      <c r="A514" s="6" t="s">
        <v>33</v>
      </c>
      <c r="B514" s="5">
        <v>45572</v>
      </c>
      <c r="C514" s="6" t="s">
        <v>754</v>
      </c>
      <c r="D514" s="7" t="s">
        <v>14</v>
      </c>
      <c r="E514" s="6" t="s">
        <v>18</v>
      </c>
      <c r="F514" s="45">
        <v>327.58620689655174</v>
      </c>
      <c r="G514" s="7" t="s">
        <v>15</v>
      </c>
      <c r="H514" s="6"/>
      <c r="I514" s="65" t="s">
        <v>83</v>
      </c>
    </row>
    <row r="515" spans="1:9" ht="15.75" x14ac:dyDescent="0.25">
      <c r="A515" s="6" t="s">
        <v>33</v>
      </c>
      <c r="B515" s="5">
        <v>45572</v>
      </c>
      <c r="C515" s="6" t="s">
        <v>755</v>
      </c>
      <c r="D515" s="6" t="s">
        <v>14</v>
      </c>
      <c r="E515" s="6" t="s">
        <v>10</v>
      </c>
      <c r="F515" s="45">
        <v>690</v>
      </c>
      <c r="G515" s="6" t="s">
        <v>8</v>
      </c>
      <c r="H515" s="6"/>
      <c r="I515" s="65" t="s">
        <v>83</v>
      </c>
    </row>
    <row r="516" spans="1:9" ht="15.75" x14ac:dyDescent="0.25">
      <c r="A516" s="6" t="s">
        <v>33</v>
      </c>
      <c r="B516" s="5">
        <v>45573</v>
      </c>
      <c r="C516" s="6" t="s">
        <v>756</v>
      </c>
      <c r="D516" s="6" t="s">
        <v>14</v>
      </c>
      <c r="E516" s="6" t="s">
        <v>11</v>
      </c>
      <c r="F516" s="45">
        <v>258.62068965517244</v>
      </c>
      <c r="G516" s="6" t="s">
        <v>15</v>
      </c>
      <c r="H516" s="6"/>
      <c r="I516" s="65" t="s">
        <v>83</v>
      </c>
    </row>
    <row r="517" spans="1:9" ht="15.75" x14ac:dyDescent="0.25">
      <c r="A517" s="6" t="s">
        <v>33</v>
      </c>
      <c r="B517" s="5">
        <v>45574</v>
      </c>
      <c r="C517" s="6" t="s">
        <v>757</v>
      </c>
      <c r="D517" s="6" t="s">
        <v>14</v>
      </c>
      <c r="E517" s="6" t="s">
        <v>16</v>
      </c>
      <c r="F517" s="45">
        <v>1187.0000000000002</v>
      </c>
      <c r="G517" s="6" t="s">
        <v>15</v>
      </c>
      <c r="H517" s="6"/>
      <c r="I517" s="65" t="s">
        <v>83</v>
      </c>
    </row>
    <row r="518" spans="1:9" ht="15.75" x14ac:dyDescent="0.25">
      <c r="A518" s="6" t="s">
        <v>33</v>
      </c>
      <c r="B518" s="5">
        <v>45574</v>
      </c>
      <c r="C518" s="6" t="s">
        <v>758</v>
      </c>
      <c r="D518" s="6" t="s">
        <v>14</v>
      </c>
      <c r="E518" s="6" t="s">
        <v>16</v>
      </c>
      <c r="F518" s="45">
        <v>1443.0000000000002</v>
      </c>
      <c r="G518" s="6" t="s">
        <v>15</v>
      </c>
      <c r="H518" s="6"/>
      <c r="I518" s="65" t="s">
        <v>83</v>
      </c>
    </row>
    <row r="519" spans="1:9" ht="15.75" x14ac:dyDescent="0.25">
      <c r="A519" s="6" t="s">
        <v>33</v>
      </c>
      <c r="B519" s="5">
        <v>45575</v>
      </c>
      <c r="C519" s="6" t="s">
        <v>759</v>
      </c>
      <c r="D519" s="6" t="s">
        <v>14</v>
      </c>
      <c r="E519" s="6" t="s">
        <v>10</v>
      </c>
      <c r="F519" s="45">
        <v>525.86206896551732</v>
      </c>
      <c r="G519" s="6" t="s">
        <v>249</v>
      </c>
      <c r="H519" s="6"/>
      <c r="I519" s="65" t="s">
        <v>83</v>
      </c>
    </row>
    <row r="520" spans="1:9" ht="15.75" x14ac:dyDescent="0.25">
      <c r="A520" s="6" t="s">
        <v>33</v>
      </c>
      <c r="B520" s="5">
        <v>45576</v>
      </c>
      <c r="C520" s="6" t="s">
        <v>760</v>
      </c>
      <c r="D520" s="6" t="s">
        <v>24</v>
      </c>
      <c r="E520" s="6" t="s">
        <v>18</v>
      </c>
      <c r="F520" s="45">
        <v>413.79310344827587</v>
      </c>
      <c r="G520" s="6" t="s">
        <v>15</v>
      </c>
      <c r="H520" s="6"/>
      <c r="I520" s="65" t="s">
        <v>83</v>
      </c>
    </row>
    <row r="521" spans="1:9" ht="15.75" x14ac:dyDescent="0.25">
      <c r="A521" s="6" t="s">
        <v>33</v>
      </c>
      <c r="B521" s="5">
        <v>45576</v>
      </c>
      <c r="C521" s="6" t="s">
        <v>761</v>
      </c>
      <c r="D521" s="6" t="s">
        <v>588</v>
      </c>
      <c r="E521" s="6" t="s">
        <v>16</v>
      </c>
      <c r="F521" s="45">
        <v>2828.0775862068967</v>
      </c>
      <c r="G521" s="6" t="s">
        <v>513</v>
      </c>
      <c r="H521" s="6"/>
      <c r="I521" s="65" t="s">
        <v>83</v>
      </c>
    </row>
    <row r="522" spans="1:9" ht="15.75" x14ac:dyDescent="0.25">
      <c r="A522" s="6" t="s">
        <v>33</v>
      </c>
      <c r="B522" s="5">
        <v>45577</v>
      </c>
      <c r="C522" s="6" t="s">
        <v>762</v>
      </c>
      <c r="D522" s="6" t="s">
        <v>22</v>
      </c>
      <c r="E522" s="6" t="s">
        <v>18</v>
      </c>
      <c r="F522" s="45">
        <v>2700</v>
      </c>
      <c r="G522" s="6" t="s">
        <v>34</v>
      </c>
      <c r="H522" s="6"/>
      <c r="I522" s="65" t="s">
        <v>83</v>
      </c>
    </row>
    <row r="523" spans="1:9" ht="15.75" x14ac:dyDescent="0.25">
      <c r="A523" s="6" t="s">
        <v>33</v>
      </c>
      <c r="B523" s="5">
        <v>45577</v>
      </c>
      <c r="C523" s="6" t="s">
        <v>763</v>
      </c>
      <c r="D523" s="6" t="s">
        <v>14</v>
      </c>
      <c r="E523" s="6" t="s">
        <v>20</v>
      </c>
      <c r="F523" s="45">
        <v>2413.7931034482758</v>
      </c>
      <c r="G523" s="6" t="s">
        <v>8</v>
      </c>
      <c r="H523" s="6" t="s">
        <v>764</v>
      </c>
      <c r="I523" s="65" t="s">
        <v>83</v>
      </c>
    </row>
    <row r="524" spans="1:9" ht="15.75" x14ac:dyDescent="0.25">
      <c r="A524" s="6" t="s">
        <v>33</v>
      </c>
      <c r="B524" s="5">
        <v>45577</v>
      </c>
      <c r="C524" s="6" t="s">
        <v>765</v>
      </c>
      <c r="D524" s="6" t="s">
        <v>14</v>
      </c>
      <c r="E524" s="6" t="s">
        <v>11</v>
      </c>
      <c r="F524" s="45">
        <v>258.62068965517244</v>
      </c>
      <c r="G524" s="6" t="s">
        <v>15</v>
      </c>
      <c r="H524" s="6"/>
      <c r="I524" s="65" t="s">
        <v>83</v>
      </c>
    </row>
    <row r="525" spans="1:9" ht="15.75" x14ac:dyDescent="0.25">
      <c r="A525" s="6" t="s">
        <v>33</v>
      </c>
      <c r="B525" s="5">
        <v>45579</v>
      </c>
      <c r="C525" s="6" t="s">
        <v>766</v>
      </c>
      <c r="D525" s="6" t="s">
        <v>22</v>
      </c>
      <c r="E525" s="6"/>
      <c r="F525" s="45">
        <v>0</v>
      </c>
      <c r="G525" s="6"/>
      <c r="H525" s="6"/>
      <c r="I525" s="65" t="s">
        <v>83</v>
      </c>
    </row>
    <row r="526" spans="1:9" ht="15.75" x14ac:dyDescent="0.25">
      <c r="A526" s="6" t="s">
        <v>33</v>
      </c>
      <c r="B526" s="5">
        <v>45579</v>
      </c>
      <c r="C526" s="6" t="s">
        <v>767</v>
      </c>
      <c r="D526" s="6" t="s">
        <v>768</v>
      </c>
      <c r="E526" s="6" t="s">
        <v>10</v>
      </c>
      <c r="F526" s="45">
        <v>922.41379310344837</v>
      </c>
      <c r="G526" s="6" t="s">
        <v>15</v>
      </c>
      <c r="H526" s="6"/>
      <c r="I526" s="65" t="s">
        <v>83</v>
      </c>
    </row>
    <row r="527" spans="1:9" ht="15.75" x14ac:dyDescent="0.25">
      <c r="A527" s="6" t="s">
        <v>33</v>
      </c>
      <c r="B527" s="5">
        <v>45579</v>
      </c>
      <c r="C527" s="6" t="s">
        <v>769</v>
      </c>
      <c r="D527" s="6" t="s">
        <v>14</v>
      </c>
      <c r="E527" s="6" t="s">
        <v>18</v>
      </c>
      <c r="F527" s="45">
        <v>258.62068965517244</v>
      </c>
      <c r="G527" s="6" t="s">
        <v>8</v>
      </c>
      <c r="H527" s="6"/>
      <c r="I527" s="65" t="s">
        <v>83</v>
      </c>
    </row>
    <row r="528" spans="1:9" ht="15.75" x14ac:dyDescent="0.25">
      <c r="A528" s="6" t="s">
        <v>33</v>
      </c>
      <c r="B528" s="5">
        <v>45579</v>
      </c>
      <c r="C528" s="6" t="s">
        <v>770</v>
      </c>
      <c r="D528" s="6" t="s">
        <v>14</v>
      </c>
      <c r="E528" s="6" t="s">
        <v>18</v>
      </c>
      <c r="F528" s="45">
        <v>144.82758620689657</v>
      </c>
      <c r="G528" s="6" t="s">
        <v>8</v>
      </c>
      <c r="H528" s="6"/>
      <c r="I528" s="65" t="s">
        <v>83</v>
      </c>
    </row>
    <row r="529" spans="1:9" ht="15.75" x14ac:dyDescent="0.25">
      <c r="A529" s="6" t="s">
        <v>33</v>
      </c>
      <c r="B529" s="5">
        <v>45580</v>
      </c>
      <c r="C529" s="6" t="s">
        <v>771</v>
      </c>
      <c r="D529" s="6" t="s">
        <v>62</v>
      </c>
      <c r="E529" s="6" t="s">
        <v>10</v>
      </c>
      <c r="F529" s="45">
        <v>387.93103448275866</v>
      </c>
      <c r="G529" s="6" t="s">
        <v>8</v>
      </c>
      <c r="H529" s="6"/>
      <c r="I529" s="65" t="s">
        <v>83</v>
      </c>
    </row>
    <row r="530" spans="1:9" ht="15.75" x14ac:dyDescent="0.25">
      <c r="A530" s="6" t="s">
        <v>33</v>
      </c>
      <c r="B530" s="5">
        <v>45581</v>
      </c>
      <c r="C530" s="6" t="s">
        <v>772</v>
      </c>
      <c r="D530" s="6" t="s">
        <v>14</v>
      </c>
      <c r="E530" s="6" t="s">
        <v>27</v>
      </c>
      <c r="F530" s="45">
        <v>480</v>
      </c>
      <c r="G530" s="6" t="s">
        <v>15</v>
      </c>
      <c r="H530" s="6"/>
      <c r="I530" s="65" t="s">
        <v>83</v>
      </c>
    </row>
    <row r="531" spans="1:9" ht="15.75" x14ac:dyDescent="0.25">
      <c r="A531" s="6" t="s">
        <v>33</v>
      </c>
      <c r="B531" s="5">
        <v>45581</v>
      </c>
      <c r="C531" s="6" t="s">
        <v>773</v>
      </c>
      <c r="D531" s="6" t="s">
        <v>14</v>
      </c>
      <c r="E531" s="6" t="s">
        <v>16</v>
      </c>
      <c r="F531" s="45">
        <v>1032</v>
      </c>
      <c r="G531" s="6" t="s">
        <v>15</v>
      </c>
      <c r="H531" s="6"/>
      <c r="I531" s="65" t="s">
        <v>83</v>
      </c>
    </row>
    <row r="532" spans="1:9" ht="15.75" x14ac:dyDescent="0.25">
      <c r="A532" s="6" t="s">
        <v>33</v>
      </c>
      <c r="B532" s="5">
        <v>45581</v>
      </c>
      <c r="C532" s="6" t="s">
        <v>774</v>
      </c>
      <c r="D532" s="6" t="s">
        <v>686</v>
      </c>
      <c r="E532" s="6" t="s">
        <v>18</v>
      </c>
      <c r="F532" s="45">
        <v>116.37931034482759</v>
      </c>
      <c r="G532" s="6" t="s">
        <v>8</v>
      </c>
      <c r="H532" s="6"/>
      <c r="I532" s="65" t="s">
        <v>83</v>
      </c>
    </row>
    <row r="533" spans="1:9" ht="15.75" x14ac:dyDescent="0.25">
      <c r="A533" s="6" t="s">
        <v>33</v>
      </c>
      <c r="B533" s="5">
        <v>45582</v>
      </c>
      <c r="C533" s="6" t="s">
        <v>775</v>
      </c>
      <c r="D533" s="6" t="s">
        <v>776</v>
      </c>
      <c r="E533" s="6" t="s">
        <v>10</v>
      </c>
      <c r="F533" s="45">
        <v>689.65517241379314</v>
      </c>
      <c r="G533" s="6" t="s">
        <v>8</v>
      </c>
      <c r="H533" s="6"/>
      <c r="I533" s="65" t="s">
        <v>83</v>
      </c>
    </row>
    <row r="534" spans="1:9" ht="15.75" x14ac:dyDescent="0.25">
      <c r="A534" s="6" t="s">
        <v>33</v>
      </c>
      <c r="B534" s="5">
        <v>45583</v>
      </c>
      <c r="C534" s="6" t="s">
        <v>777</v>
      </c>
      <c r="D534" s="6" t="s">
        <v>14</v>
      </c>
      <c r="E534" s="6" t="s">
        <v>10</v>
      </c>
      <c r="F534" s="45">
        <v>301.72413793103448</v>
      </c>
      <c r="G534" s="6" t="s">
        <v>8</v>
      </c>
      <c r="H534" s="6"/>
      <c r="I534" s="65" t="s">
        <v>83</v>
      </c>
    </row>
    <row r="535" spans="1:9" ht="15.75" x14ac:dyDescent="0.25">
      <c r="A535" s="6" t="s">
        <v>33</v>
      </c>
      <c r="B535" s="5">
        <v>45586</v>
      </c>
      <c r="C535" s="6" t="s">
        <v>778</v>
      </c>
      <c r="D535" s="6" t="s">
        <v>30</v>
      </c>
      <c r="E535" s="6"/>
      <c r="F535" s="45">
        <v>0</v>
      </c>
      <c r="G535" s="7"/>
      <c r="H535" s="6"/>
      <c r="I535" s="65" t="s">
        <v>83</v>
      </c>
    </row>
    <row r="536" spans="1:9" ht="15.75" x14ac:dyDescent="0.25">
      <c r="A536" s="6" t="s">
        <v>33</v>
      </c>
      <c r="B536" s="5">
        <v>45586</v>
      </c>
      <c r="C536" s="6" t="s">
        <v>779</v>
      </c>
      <c r="D536" s="6" t="s">
        <v>14</v>
      </c>
      <c r="E536" s="6" t="s">
        <v>11</v>
      </c>
      <c r="F536" s="45">
        <v>258.62068965517244</v>
      </c>
      <c r="G536" s="6" t="s">
        <v>15</v>
      </c>
      <c r="H536" s="6"/>
      <c r="I536" s="65" t="s">
        <v>83</v>
      </c>
    </row>
    <row r="537" spans="1:9" ht="15.75" x14ac:dyDescent="0.25">
      <c r="A537" s="6" t="s">
        <v>33</v>
      </c>
      <c r="B537" s="5">
        <v>45586</v>
      </c>
      <c r="C537" s="6" t="s">
        <v>780</v>
      </c>
      <c r="D537" s="6" t="s">
        <v>781</v>
      </c>
      <c r="E537" s="6" t="s">
        <v>16</v>
      </c>
      <c r="F537" s="45">
        <v>4480.0000000000009</v>
      </c>
      <c r="G537" s="6" t="s">
        <v>13</v>
      </c>
      <c r="H537" s="6"/>
      <c r="I537" s="65" t="s">
        <v>83</v>
      </c>
    </row>
    <row r="538" spans="1:9" ht="15.75" x14ac:dyDescent="0.25">
      <c r="A538" s="6" t="s">
        <v>33</v>
      </c>
      <c r="B538" s="5">
        <v>45586</v>
      </c>
      <c r="C538" s="6" t="s">
        <v>782</v>
      </c>
      <c r="D538" s="6" t="s">
        <v>781</v>
      </c>
      <c r="E538" s="6" t="s">
        <v>16</v>
      </c>
      <c r="F538" s="45">
        <v>3014</v>
      </c>
      <c r="G538" s="6" t="s">
        <v>13</v>
      </c>
      <c r="H538" s="6"/>
      <c r="I538" s="65" t="s">
        <v>83</v>
      </c>
    </row>
    <row r="539" spans="1:9" ht="15.75" x14ac:dyDescent="0.25">
      <c r="A539" s="6" t="s">
        <v>33</v>
      </c>
      <c r="B539" s="5">
        <v>45586</v>
      </c>
      <c r="C539" s="6" t="s">
        <v>783</v>
      </c>
      <c r="D539" s="6" t="s">
        <v>781</v>
      </c>
      <c r="E539" s="6" t="s">
        <v>16</v>
      </c>
      <c r="F539" s="45">
        <v>5140</v>
      </c>
      <c r="G539" s="6" t="s">
        <v>13</v>
      </c>
      <c r="H539" s="6"/>
      <c r="I539" s="65" t="s">
        <v>83</v>
      </c>
    </row>
    <row r="540" spans="1:9" ht="15.75" x14ac:dyDescent="0.25">
      <c r="A540" s="6" t="s">
        <v>33</v>
      </c>
      <c r="B540" s="5">
        <v>45586</v>
      </c>
      <c r="C540" s="6" t="s">
        <v>784</v>
      </c>
      <c r="D540" s="6" t="s">
        <v>14</v>
      </c>
      <c r="E540" s="6" t="s">
        <v>10</v>
      </c>
      <c r="F540" s="45">
        <v>750</v>
      </c>
      <c r="G540" s="6" t="s">
        <v>8</v>
      </c>
      <c r="H540" s="6"/>
      <c r="I540" s="65" t="s">
        <v>83</v>
      </c>
    </row>
    <row r="541" spans="1:9" ht="15.75" x14ac:dyDescent="0.25">
      <c r="A541" s="6" t="s">
        <v>33</v>
      </c>
      <c r="B541" s="5">
        <v>45586</v>
      </c>
      <c r="C541" s="6" t="s">
        <v>785</v>
      </c>
      <c r="D541" s="6" t="s">
        <v>25</v>
      </c>
      <c r="E541" s="6" t="s">
        <v>16</v>
      </c>
      <c r="F541" s="45">
        <v>1160</v>
      </c>
      <c r="G541" s="6" t="s">
        <v>15</v>
      </c>
      <c r="H541" s="6"/>
      <c r="I541" s="65" t="s">
        <v>83</v>
      </c>
    </row>
    <row r="542" spans="1:9" ht="15.75" x14ac:dyDescent="0.25">
      <c r="A542" s="6" t="s">
        <v>33</v>
      </c>
      <c r="B542" s="5">
        <v>45588</v>
      </c>
      <c r="C542" s="6" t="s">
        <v>786</v>
      </c>
      <c r="D542" s="6" t="s">
        <v>14</v>
      </c>
      <c r="E542" s="6" t="s">
        <v>10</v>
      </c>
      <c r="F542" s="45">
        <v>258.62068965517244</v>
      </c>
      <c r="G542" s="6" t="s">
        <v>8</v>
      </c>
      <c r="H542" s="6"/>
      <c r="I542" s="65" t="s">
        <v>83</v>
      </c>
    </row>
    <row r="543" spans="1:9" ht="15.75" x14ac:dyDescent="0.25">
      <c r="A543" s="6" t="s">
        <v>33</v>
      </c>
      <c r="B543" s="5">
        <v>45588</v>
      </c>
      <c r="C543" s="6" t="s">
        <v>787</v>
      </c>
      <c r="D543" s="6" t="s">
        <v>22</v>
      </c>
      <c r="E543" s="6" t="s">
        <v>10</v>
      </c>
      <c r="F543" s="45">
        <v>918.00000000000011</v>
      </c>
      <c r="G543" s="6" t="s">
        <v>34</v>
      </c>
      <c r="H543" s="6"/>
      <c r="I543" s="65" t="s">
        <v>83</v>
      </c>
    </row>
    <row r="544" spans="1:9" ht="15.75" x14ac:dyDescent="0.25">
      <c r="A544" s="6" t="s">
        <v>33</v>
      </c>
      <c r="B544" s="5">
        <v>45588</v>
      </c>
      <c r="C544" s="6" t="s">
        <v>788</v>
      </c>
      <c r="D544" s="6" t="s">
        <v>14</v>
      </c>
      <c r="E544" s="6" t="s">
        <v>10</v>
      </c>
      <c r="F544" s="45">
        <v>818.96551724137942</v>
      </c>
      <c r="G544" s="6" t="s">
        <v>8</v>
      </c>
      <c r="H544" s="6"/>
      <c r="I544" s="65" t="s">
        <v>83</v>
      </c>
    </row>
    <row r="545" spans="1:9" ht="15.75" x14ac:dyDescent="0.25">
      <c r="A545" s="6" t="s">
        <v>33</v>
      </c>
      <c r="B545" s="5">
        <v>45589</v>
      </c>
      <c r="C545" s="6" t="s">
        <v>789</v>
      </c>
      <c r="D545" s="6" t="s">
        <v>14</v>
      </c>
      <c r="E545" s="6" t="s">
        <v>16</v>
      </c>
      <c r="F545" s="45">
        <v>1516</v>
      </c>
      <c r="G545" s="6" t="s">
        <v>15</v>
      </c>
      <c r="H545" s="6"/>
      <c r="I545" s="65" t="s">
        <v>83</v>
      </c>
    </row>
    <row r="546" spans="1:9" ht="15.75" x14ac:dyDescent="0.25">
      <c r="A546" s="6" t="s">
        <v>33</v>
      </c>
      <c r="B546" s="5">
        <v>45589</v>
      </c>
      <c r="C546" s="6" t="s">
        <v>790</v>
      </c>
      <c r="D546" s="6" t="s">
        <v>60</v>
      </c>
      <c r="E546" s="6" t="s">
        <v>10</v>
      </c>
      <c r="F546" s="45">
        <v>1206.8965517241379</v>
      </c>
      <c r="G546" s="6" t="s">
        <v>8</v>
      </c>
      <c r="H546" s="6"/>
      <c r="I546" s="65" t="s">
        <v>83</v>
      </c>
    </row>
    <row r="547" spans="1:9" ht="15.75" x14ac:dyDescent="0.25">
      <c r="A547" s="6" t="s">
        <v>33</v>
      </c>
      <c r="B547" s="5">
        <v>45591</v>
      </c>
      <c r="C547" s="6" t="s">
        <v>791</v>
      </c>
      <c r="D547" s="6" t="s">
        <v>14</v>
      </c>
      <c r="E547" s="6" t="s">
        <v>20</v>
      </c>
      <c r="F547" s="45">
        <v>5172.4137931034484</v>
      </c>
      <c r="G547" s="6" t="s">
        <v>8</v>
      </c>
      <c r="H547" s="6" t="s">
        <v>37</v>
      </c>
      <c r="I547" s="65" t="s">
        <v>83</v>
      </c>
    </row>
    <row r="548" spans="1:9" ht="15.75" x14ac:dyDescent="0.25">
      <c r="A548" s="6" t="s">
        <v>33</v>
      </c>
      <c r="B548" s="5">
        <v>45591</v>
      </c>
      <c r="C548" s="6" t="s">
        <v>792</v>
      </c>
      <c r="D548" s="6" t="s">
        <v>14</v>
      </c>
      <c r="E548" s="6" t="s">
        <v>10</v>
      </c>
      <c r="F548" s="45">
        <v>387.93103448275866</v>
      </c>
      <c r="G548" s="6" t="s">
        <v>8</v>
      </c>
      <c r="H548" s="6"/>
      <c r="I548" s="65" t="s">
        <v>83</v>
      </c>
    </row>
    <row r="549" spans="1:9" ht="15.75" x14ac:dyDescent="0.25">
      <c r="A549" s="6" t="s">
        <v>33</v>
      </c>
      <c r="B549" s="5">
        <v>45593</v>
      </c>
      <c r="C549" s="6" t="s">
        <v>793</v>
      </c>
      <c r="D549" s="6" t="s">
        <v>14</v>
      </c>
      <c r="E549" s="6" t="s">
        <v>10</v>
      </c>
      <c r="F549" s="45">
        <v>469.82758620689657</v>
      </c>
      <c r="G549" s="6" t="s">
        <v>8</v>
      </c>
      <c r="H549" s="6"/>
      <c r="I549" s="65" t="s">
        <v>83</v>
      </c>
    </row>
    <row r="550" spans="1:9" ht="15.75" x14ac:dyDescent="0.25">
      <c r="A550" s="6" t="s">
        <v>33</v>
      </c>
      <c r="B550" s="5">
        <v>45594</v>
      </c>
      <c r="C550" s="6" t="s">
        <v>794</v>
      </c>
      <c r="D550" s="6" t="s">
        <v>14</v>
      </c>
      <c r="E550" s="6" t="s">
        <v>16</v>
      </c>
      <c r="F550" s="45">
        <v>1665.0000000000002</v>
      </c>
      <c r="G550" s="6" t="s">
        <v>15</v>
      </c>
      <c r="H550" s="6"/>
      <c r="I550" s="65" t="s">
        <v>83</v>
      </c>
    </row>
    <row r="551" spans="1:9" ht="15.75" x14ac:dyDescent="0.25">
      <c r="A551" s="6" t="s">
        <v>33</v>
      </c>
      <c r="B551" s="5">
        <v>45594</v>
      </c>
      <c r="C551" s="6" t="s">
        <v>795</v>
      </c>
      <c r="D551" s="6" t="s">
        <v>14</v>
      </c>
      <c r="E551" s="6" t="s">
        <v>18</v>
      </c>
      <c r="F551" s="45">
        <v>810.00000000000011</v>
      </c>
      <c r="G551" s="6" t="s">
        <v>8</v>
      </c>
      <c r="H551" s="6"/>
      <c r="I551" s="65" t="s">
        <v>83</v>
      </c>
    </row>
    <row r="552" spans="1:9" ht="15.75" x14ac:dyDescent="0.25">
      <c r="A552" s="6" t="s">
        <v>33</v>
      </c>
      <c r="B552" s="5">
        <v>45595</v>
      </c>
      <c r="C552" s="6" t="s">
        <v>796</v>
      </c>
      <c r="D552" s="6" t="s">
        <v>797</v>
      </c>
      <c r="E552" s="6" t="s">
        <v>11</v>
      </c>
      <c r="F552" s="45">
        <v>258.62068965517244</v>
      </c>
      <c r="G552" s="6" t="s">
        <v>15</v>
      </c>
      <c r="H552" s="6"/>
      <c r="I552" s="65" t="s">
        <v>83</v>
      </c>
    </row>
    <row r="553" spans="1:9" ht="15.75" x14ac:dyDescent="0.25">
      <c r="A553" s="6" t="s">
        <v>33</v>
      </c>
      <c r="B553" s="5">
        <v>45595</v>
      </c>
      <c r="C553" s="6" t="s">
        <v>798</v>
      </c>
      <c r="D553" s="6" t="s">
        <v>781</v>
      </c>
      <c r="E553" s="6" t="s">
        <v>16</v>
      </c>
      <c r="F553" s="45">
        <v>12884.000000000002</v>
      </c>
      <c r="G553" s="6" t="s">
        <v>13</v>
      </c>
      <c r="H553" s="6"/>
      <c r="I553" s="65" t="s">
        <v>83</v>
      </c>
    </row>
    <row r="554" spans="1:9" ht="15.75" x14ac:dyDescent="0.25">
      <c r="A554" s="6" t="s">
        <v>33</v>
      </c>
      <c r="B554" s="5">
        <v>45596</v>
      </c>
      <c r="C554" s="6" t="s">
        <v>799</v>
      </c>
      <c r="D554" s="6" t="s">
        <v>30</v>
      </c>
      <c r="E554" s="6"/>
      <c r="F554" s="45">
        <v>0</v>
      </c>
      <c r="G554" s="6"/>
      <c r="H554" s="6"/>
      <c r="I554" s="65" t="s">
        <v>83</v>
      </c>
    </row>
    <row r="555" spans="1:9" ht="15.75" x14ac:dyDescent="0.25">
      <c r="A555" s="6" t="s">
        <v>33</v>
      </c>
      <c r="B555" s="5">
        <v>45596</v>
      </c>
      <c r="C555" s="6" t="s">
        <v>800</v>
      </c>
      <c r="D555" s="6" t="s">
        <v>801</v>
      </c>
      <c r="E555" s="6" t="s">
        <v>10</v>
      </c>
      <c r="F555" s="45">
        <v>2155.1724137931037</v>
      </c>
      <c r="G555" s="6" t="s">
        <v>8</v>
      </c>
      <c r="H555" s="6"/>
      <c r="I555" s="65" t="s">
        <v>83</v>
      </c>
    </row>
    <row r="556" spans="1:9" ht="15.75" x14ac:dyDescent="0.25">
      <c r="A556" s="6" t="s">
        <v>33</v>
      </c>
      <c r="B556" s="5">
        <v>45597</v>
      </c>
      <c r="C556" s="6" t="s">
        <v>802</v>
      </c>
      <c r="D556" s="6" t="s">
        <v>14</v>
      </c>
      <c r="E556" s="6" t="s">
        <v>16</v>
      </c>
      <c r="F556" s="45">
        <v>3640.4137931034488</v>
      </c>
      <c r="G556" s="6" t="s">
        <v>15</v>
      </c>
      <c r="H556" s="6"/>
      <c r="I556" s="65" t="s">
        <v>83</v>
      </c>
    </row>
    <row r="557" spans="1:9" ht="15.75" x14ac:dyDescent="0.25">
      <c r="A557" s="6" t="s">
        <v>33</v>
      </c>
      <c r="B557" s="5">
        <v>45597</v>
      </c>
      <c r="C557" s="6" t="s">
        <v>803</v>
      </c>
      <c r="D557" s="6" t="s">
        <v>14</v>
      </c>
      <c r="E557" s="6" t="s">
        <v>10</v>
      </c>
      <c r="F557" s="45">
        <v>689.66379310344837</v>
      </c>
      <c r="G557" s="6" t="s">
        <v>8</v>
      </c>
      <c r="H557" s="6"/>
      <c r="I557" s="65" t="s">
        <v>83</v>
      </c>
    </row>
    <row r="558" spans="1:9" ht="15.75" x14ac:dyDescent="0.25">
      <c r="A558" s="6" t="s">
        <v>33</v>
      </c>
      <c r="B558" s="5">
        <v>45597</v>
      </c>
      <c r="C558" s="6" t="s">
        <v>804</v>
      </c>
      <c r="D558" s="6" t="s">
        <v>30</v>
      </c>
      <c r="E558" s="6"/>
      <c r="F558" s="45">
        <v>0</v>
      </c>
      <c r="G558" s="6"/>
      <c r="H558" s="6"/>
      <c r="I558" s="65" t="s">
        <v>83</v>
      </c>
    </row>
    <row r="559" spans="1:9" ht="15.75" x14ac:dyDescent="0.25">
      <c r="A559" s="6" t="s">
        <v>33</v>
      </c>
      <c r="B559" s="5">
        <v>45600</v>
      </c>
      <c r="C559" s="6" t="s">
        <v>805</v>
      </c>
      <c r="D559" s="6" t="s">
        <v>30</v>
      </c>
      <c r="E559" s="6"/>
      <c r="F559" s="45">
        <v>0</v>
      </c>
      <c r="G559" s="6"/>
      <c r="H559" s="6"/>
      <c r="I559" s="65" t="s">
        <v>83</v>
      </c>
    </row>
    <row r="560" spans="1:9" ht="15.75" x14ac:dyDescent="0.25">
      <c r="A560" s="6" t="s">
        <v>33</v>
      </c>
      <c r="B560" s="5">
        <v>45600</v>
      </c>
      <c r="C560" s="6" t="s">
        <v>806</v>
      </c>
      <c r="D560" s="6" t="s">
        <v>29</v>
      </c>
      <c r="E560" s="6" t="s">
        <v>10</v>
      </c>
      <c r="F560" s="45">
        <v>8945.0000000000018</v>
      </c>
      <c r="G560" s="6" t="s">
        <v>13</v>
      </c>
      <c r="H560" s="6"/>
      <c r="I560" s="65" t="s">
        <v>83</v>
      </c>
    </row>
    <row r="561" spans="1:9" ht="15.75" x14ac:dyDescent="0.25">
      <c r="A561" s="6" t="s">
        <v>33</v>
      </c>
      <c r="B561" s="5">
        <v>45600</v>
      </c>
      <c r="C561" s="6" t="s">
        <v>807</v>
      </c>
      <c r="D561" s="6" t="s">
        <v>25</v>
      </c>
      <c r="E561" s="6" t="s">
        <v>11</v>
      </c>
      <c r="F561" s="45">
        <v>689.66379310344837</v>
      </c>
      <c r="G561" s="6" t="s">
        <v>15</v>
      </c>
      <c r="H561" s="6"/>
      <c r="I561" s="65" t="s">
        <v>83</v>
      </c>
    </row>
    <row r="562" spans="1:9" ht="15.75" x14ac:dyDescent="0.25">
      <c r="A562" s="6" t="s">
        <v>33</v>
      </c>
      <c r="B562" s="5">
        <v>45600</v>
      </c>
      <c r="C562" s="6" t="s">
        <v>808</v>
      </c>
      <c r="D562" s="6" t="s">
        <v>14</v>
      </c>
      <c r="E562" s="6" t="s">
        <v>10</v>
      </c>
      <c r="F562" s="45">
        <v>818.96551724137942</v>
      </c>
      <c r="G562" s="6" t="s">
        <v>8</v>
      </c>
      <c r="H562" s="6"/>
      <c r="I562" s="65" t="s">
        <v>83</v>
      </c>
    </row>
    <row r="563" spans="1:9" ht="15.75" x14ac:dyDescent="0.25">
      <c r="A563" s="6" t="s">
        <v>33</v>
      </c>
      <c r="B563" s="5">
        <v>45601</v>
      </c>
      <c r="C563" s="6" t="s">
        <v>809</v>
      </c>
      <c r="D563" s="6" t="s">
        <v>22</v>
      </c>
      <c r="E563" s="6"/>
      <c r="F563" s="45">
        <v>0</v>
      </c>
      <c r="G563" s="6"/>
      <c r="H563" s="6"/>
      <c r="I563" s="65" t="s">
        <v>83</v>
      </c>
    </row>
    <row r="564" spans="1:9" ht="15.75" x14ac:dyDescent="0.25">
      <c r="A564" s="6" t="s">
        <v>33</v>
      </c>
      <c r="B564" s="5">
        <v>45601</v>
      </c>
      <c r="C564" s="6" t="s">
        <v>810</v>
      </c>
      <c r="D564" s="6" t="s">
        <v>41</v>
      </c>
      <c r="E564" s="6" t="s">
        <v>18</v>
      </c>
      <c r="F564" s="45">
        <v>413.79310344827587</v>
      </c>
      <c r="G564" s="6" t="s">
        <v>8</v>
      </c>
      <c r="H564" s="6"/>
      <c r="I564" s="65" t="s">
        <v>83</v>
      </c>
    </row>
    <row r="565" spans="1:9" ht="15.75" x14ac:dyDescent="0.25">
      <c r="A565" s="6" t="s">
        <v>33</v>
      </c>
      <c r="B565" s="5">
        <v>45602</v>
      </c>
      <c r="C565" s="6" t="s">
        <v>811</v>
      </c>
      <c r="D565" s="6" t="s">
        <v>727</v>
      </c>
      <c r="E565" s="6" t="s">
        <v>10</v>
      </c>
      <c r="F565" s="45">
        <v>1300</v>
      </c>
      <c r="G565" s="6" t="s">
        <v>13</v>
      </c>
      <c r="H565" s="6"/>
      <c r="I565" s="65" t="s">
        <v>83</v>
      </c>
    </row>
    <row r="566" spans="1:9" ht="15.75" x14ac:dyDescent="0.25">
      <c r="A566" s="6" t="s">
        <v>33</v>
      </c>
      <c r="B566" s="5">
        <v>45603</v>
      </c>
      <c r="C566" s="6" t="s">
        <v>812</v>
      </c>
      <c r="D566" s="6" t="s">
        <v>40</v>
      </c>
      <c r="E566" s="6" t="s">
        <v>10</v>
      </c>
      <c r="F566" s="45">
        <v>905.17241379310349</v>
      </c>
      <c r="G566" s="6" t="s">
        <v>8</v>
      </c>
      <c r="H566" s="6"/>
      <c r="I566" s="65" t="s">
        <v>83</v>
      </c>
    </row>
    <row r="567" spans="1:9" ht="15.75" x14ac:dyDescent="0.25">
      <c r="A567" s="6" t="s">
        <v>33</v>
      </c>
      <c r="B567" s="5">
        <v>45603</v>
      </c>
      <c r="C567" s="6" t="s">
        <v>813</v>
      </c>
      <c r="D567" s="6" t="s">
        <v>14</v>
      </c>
      <c r="E567" s="6" t="s">
        <v>18</v>
      </c>
      <c r="F567" s="45">
        <v>310.34482758620692</v>
      </c>
      <c r="G567" s="6" t="s">
        <v>8</v>
      </c>
      <c r="H567" s="6"/>
      <c r="I567" s="65" t="s">
        <v>83</v>
      </c>
    </row>
    <row r="568" spans="1:9" ht="15.75" x14ac:dyDescent="0.25">
      <c r="A568" s="6" t="s">
        <v>33</v>
      </c>
      <c r="B568" s="5">
        <v>45603</v>
      </c>
      <c r="C568" s="6" t="s">
        <v>814</v>
      </c>
      <c r="D568" s="6" t="s">
        <v>22</v>
      </c>
      <c r="E568" s="6" t="s">
        <v>18</v>
      </c>
      <c r="F568" s="45">
        <v>192.60344827586206</v>
      </c>
      <c r="G568" s="6" t="s">
        <v>34</v>
      </c>
      <c r="H568" s="6"/>
      <c r="I568" s="65" t="s">
        <v>83</v>
      </c>
    </row>
    <row r="569" spans="1:9" ht="15.75" x14ac:dyDescent="0.25">
      <c r="A569" s="6" t="s">
        <v>33</v>
      </c>
      <c r="B569" s="5">
        <v>45603</v>
      </c>
      <c r="C569" s="6" t="s">
        <v>815</v>
      </c>
      <c r="D569" s="7" t="s">
        <v>22</v>
      </c>
      <c r="E569" s="6" t="s">
        <v>18</v>
      </c>
      <c r="F569" s="45">
        <v>385.19827586206895</v>
      </c>
      <c r="G569" s="7" t="s">
        <v>34</v>
      </c>
      <c r="H569" s="6"/>
      <c r="I569" s="65" t="s">
        <v>83</v>
      </c>
    </row>
    <row r="570" spans="1:9" ht="15.75" x14ac:dyDescent="0.25">
      <c r="A570" s="6" t="s">
        <v>33</v>
      </c>
      <c r="B570" s="5">
        <v>45603</v>
      </c>
      <c r="C570" s="6" t="s">
        <v>816</v>
      </c>
      <c r="D570" s="6" t="s">
        <v>22</v>
      </c>
      <c r="E570" s="6" t="s">
        <v>18</v>
      </c>
      <c r="F570" s="45">
        <v>63</v>
      </c>
      <c r="G570" s="6" t="s">
        <v>34</v>
      </c>
      <c r="H570" s="6"/>
      <c r="I570" s="65" t="s">
        <v>83</v>
      </c>
    </row>
    <row r="571" spans="1:9" ht="15.75" x14ac:dyDescent="0.25">
      <c r="A571" s="6" t="s">
        <v>33</v>
      </c>
      <c r="B571" s="5">
        <v>45604</v>
      </c>
      <c r="C571" s="6" t="s">
        <v>817</v>
      </c>
      <c r="D571" s="6" t="s">
        <v>14</v>
      </c>
      <c r="E571" s="6" t="s">
        <v>18</v>
      </c>
      <c r="F571" s="45">
        <v>129.31034482758622</v>
      </c>
      <c r="G571" s="6" t="s">
        <v>8</v>
      </c>
      <c r="H571" s="6"/>
      <c r="I571" s="65" t="s">
        <v>83</v>
      </c>
    </row>
    <row r="572" spans="1:9" ht="15.75" x14ac:dyDescent="0.25">
      <c r="A572" s="6" t="s">
        <v>33</v>
      </c>
      <c r="B572" s="5">
        <v>45604</v>
      </c>
      <c r="C572" s="6" t="s">
        <v>818</v>
      </c>
      <c r="D572" s="6" t="s">
        <v>14</v>
      </c>
      <c r="E572" s="6" t="s">
        <v>16</v>
      </c>
      <c r="F572" s="45">
        <v>2551</v>
      </c>
      <c r="G572" s="6" t="s">
        <v>15</v>
      </c>
      <c r="H572" s="6"/>
      <c r="I572" s="65" t="s">
        <v>83</v>
      </c>
    </row>
    <row r="573" spans="1:9" ht="15.75" x14ac:dyDescent="0.25">
      <c r="A573" s="6" t="s">
        <v>33</v>
      </c>
      <c r="B573" s="5">
        <v>45605</v>
      </c>
      <c r="C573" s="6" t="s">
        <v>819</v>
      </c>
      <c r="D573" s="6" t="s">
        <v>40</v>
      </c>
      <c r="E573" s="6" t="s">
        <v>10</v>
      </c>
      <c r="F573" s="45">
        <v>1465.5172413793105</v>
      </c>
      <c r="G573" s="6" t="s">
        <v>8</v>
      </c>
      <c r="H573" s="6"/>
      <c r="I573" s="65" t="s">
        <v>83</v>
      </c>
    </row>
    <row r="574" spans="1:9" ht="15.75" x14ac:dyDescent="0.25">
      <c r="A574" s="6" t="s">
        <v>33</v>
      </c>
      <c r="B574" s="5">
        <v>45605</v>
      </c>
      <c r="C574" s="6" t="s">
        <v>820</v>
      </c>
      <c r="D574" s="6" t="s">
        <v>22</v>
      </c>
      <c r="E574" s="6" t="s">
        <v>10</v>
      </c>
      <c r="F574" s="45">
        <v>3580.0000000000005</v>
      </c>
      <c r="G574" s="6" t="s">
        <v>34</v>
      </c>
      <c r="H574" s="6"/>
      <c r="I574" s="65" t="s">
        <v>83</v>
      </c>
    </row>
    <row r="575" spans="1:9" ht="15.75" x14ac:dyDescent="0.25">
      <c r="A575" s="6" t="s">
        <v>33</v>
      </c>
      <c r="B575" s="5">
        <v>45605</v>
      </c>
      <c r="C575" s="6" t="s">
        <v>821</v>
      </c>
      <c r="D575" s="6" t="s">
        <v>822</v>
      </c>
      <c r="E575" s="6" t="s">
        <v>10</v>
      </c>
      <c r="F575" s="45">
        <v>9010.0000000000018</v>
      </c>
      <c r="G575" s="6" t="s">
        <v>13</v>
      </c>
      <c r="H575" s="6"/>
      <c r="I575" s="65" t="s">
        <v>83</v>
      </c>
    </row>
    <row r="576" spans="1:9" ht="15.75" x14ac:dyDescent="0.25">
      <c r="A576" s="6" t="s">
        <v>33</v>
      </c>
      <c r="B576" s="5">
        <v>45607</v>
      </c>
      <c r="C576" s="6" t="s">
        <v>823</v>
      </c>
      <c r="D576" s="6" t="s">
        <v>704</v>
      </c>
      <c r="E576" s="6" t="s">
        <v>18</v>
      </c>
      <c r="F576" s="45">
        <v>528</v>
      </c>
      <c r="G576" s="6" t="s">
        <v>513</v>
      </c>
      <c r="H576" s="6"/>
      <c r="I576" s="65" t="s">
        <v>83</v>
      </c>
    </row>
    <row r="577" spans="1:9" ht="15.75" x14ac:dyDescent="0.25">
      <c r="A577" s="6" t="s">
        <v>33</v>
      </c>
      <c r="B577" s="5">
        <v>45607</v>
      </c>
      <c r="C577" s="6" t="s">
        <v>824</v>
      </c>
      <c r="D577" s="6" t="s">
        <v>14</v>
      </c>
      <c r="E577" s="6" t="s">
        <v>18</v>
      </c>
      <c r="F577" s="45">
        <v>207.00000000000003</v>
      </c>
      <c r="G577" s="6" t="s">
        <v>8</v>
      </c>
      <c r="H577" s="6"/>
      <c r="I577" s="65" t="s">
        <v>83</v>
      </c>
    </row>
    <row r="578" spans="1:9" ht="15.75" x14ac:dyDescent="0.25">
      <c r="A578" s="6" t="s">
        <v>33</v>
      </c>
      <c r="B578" s="5">
        <v>45608</v>
      </c>
      <c r="C578" s="6" t="s">
        <v>825</v>
      </c>
      <c r="D578" s="6" t="s">
        <v>826</v>
      </c>
      <c r="E578" s="6" t="s">
        <v>10</v>
      </c>
      <c r="F578" s="45">
        <v>1465.5172413793105</v>
      </c>
      <c r="G578" s="6" t="s">
        <v>15</v>
      </c>
      <c r="H578" s="6"/>
      <c r="I578" s="65" t="s">
        <v>83</v>
      </c>
    </row>
    <row r="579" spans="1:9" ht="15.75" x14ac:dyDescent="0.25">
      <c r="A579" s="6" t="s">
        <v>33</v>
      </c>
      <c r="B579" s="5">
        <v>45608</v>
      </c>
      <c r="C579" s="6" t="s">
        <v>827</v>
      </c>
      <c r="D579" s="6" t="s">
        <v>14</v>
      </c>
      <c r="E579" s="6" t="s">
        <v>16</v>
      </c>
      <c r="F579" s="45">
        <v>1753.0000000000002</v>
      </c>
      <c r="G579" s="6" t="s">
        <v>15</v>
      </c>
      <c r="H579" s="6"/>
      <c r="I579" s="65" t="s">
        <v>83</v>
      </c>
    </row>
    <row r="580" spans="1:9" ht="15.75" x14ac:dyDescent="0.25">
      <c r="A580" s="6" t="s">
        <v>33</v>
      </c>
      <c r="B580" s="5">
        <v>45608</v>
      </c>
      <c r="C580" s="6" t="s">
        <v>828</v>
      </c>
      <c r="D580" s="6" t="s">
        <v>14</v>
      </c>
      <c r="E580" s="6" t="s">
        <v>10</v>
      </c>
      <c r="F580" s="45">
        <v>172.41379310344828</v>
      </c>
      <c r="G580" s="6" t="s">
        <v>8</v>
      </c>
      <c r="H580" s="6"/>
      <c r="I580" s="65" t="s">
        <v>83</v>
      </c>
    </row>
    <row r="581" spans="1:9" ht="15.75" x14ac:dyDescent="0.25">
      <c r="A581" s="6" t="s">
        <v>33</v>
      </c>
      <c r="B581" s="5">
        <v>45609</v>
      </c>
      <c r="C581" s="6" t="s">
        <v>829</v>
      </c>
      <c r="D581" s="6" t="s">
        <v>252</v>
      </c>
      <c r="E581" s="6" t="s">
        <v>16</v>
      </c>
      <c r="F581" s="45">
        <v>1425</v>
      </c>
      <c r="G581" s="6" t="s">
        <v>15</v>
      </c>
      <c r="H581" s="6"/>
      <c r="I581" s="65" t="s">
        <v>83</v>
      </c>
    </row>
    <row r="582" spans="1:9" ht="15.75" x14ac:dyDescent="0.25">
      <c r="A582" s="6" t="s">
        <v>33</v>
      </c>
      <c r="B582" s="5">
        <v>45609</v>
      </c>
      <c r="C582" s="6" t="s">
        <v>830</v>
      </c>
      <c r="D582" s="6" t="s">
        <v>22</v>
      </c>
      <c r="E582" s="6"/>
      <c r="F582" s="45">
        <v>0</v>
      </c>
      <c r="G582" s="6"/>
      <c r="H582" s="6"/>
      <c r="I582" s="65" t="s">
        <v>83</v>
      </c>
    </row>
    <row r="583" spans="1:9" ht="15.75" x14ac:dyDescent="0.25">
      <c r="A583" s="6" t="s">
        <v>33</v>
      </c>
      <c r="B583" s="5">
        <v>45609</v>
      </c>
      <c r="C583" s="6" t="s">
        <v>831</v>
      </c>
      <c r="D583" s="6" t="s">
        <v>832</v>
      </c>
      <c r="E583" s="6" t="s">
        <v>18</v>
      </c>
      <c r="F583" s="45">
        <v>1120.6896551724139</v>
      </c>
      <c r="G583" s="6" t="s">
        <v>8</v>
      </c>
      <c r="H583" s="6"/>
      <c r="I583" s="65" t="s">
        <v>83</v>
      </c>
    </row>
    <row r="584" spans="1:9" ht="15.75" x14ac:dyDescent="0.25">
      <c r="A584" s="6" t="s">
        <v>33</v>
      </c>
      <c r="B584" s="5">
        <v>45610</v>
      </c>
      <c r="C584" s="6" t="s">
        <v>833</v>
      </c>
      <c r="D584" s="6" t="s">
        <v>29</v>
      </c>
      <c r="E584" s="6" t="s">
        <v>23</v>
      </c>
      <c r="F584" s="45">
        <v>15000.000000000002</v>
      </c>
      <c r="G584" s="6" t="s">
        <v>13</v>
      </c>
      <c r="H584" s="6" t="s">
        <v>54</v>
      </c>
      <c r="I584" s="65" t="s">
        <v>83</v>
      </c>
    </row>
    <row r="585" spans="1:9" ht="15.75" x14ac:dyDescent="0.25">
      <c r="A585" s="6" t="s">
        <v>33</v>
      </c>
      <c r="B585" s="5">
        <v>45610</v>
      </c>
      <c r="C585" s="6" t="s">
        <v>834</v>
      </c>
      <c r="D585" s="6" t="s">
        <v>835</v>
      </c>
      <c r="E585" s="6" t="s">
        <v>16</v>
      </c>
      <c r="F585" s="45">
        <v>970.00000000000011</v>
      </c>
      <c r="G585" s="6" t="s">
        <v>15</v>
      </c>
      <c r="H585" s="6"/>
      <c r="I585" s="65" t="s">
        <v>83</v>
      </c>
    </row>
    <row r="586" spans="1:9" ht="15.75" x14ac:dyDescent="0.25">
      <c r="A586" s="6" t="s">
        <v>33</v>
      </c>
      <c r="B586" s="5">
        <v>45611</v>
      </c>
      <c r="C586" s="6" t="s">
        <v>836</v>
      </c>
      <c r="D586" s="6" t="s">
        <v>837</v>
      </c>
      <c r="E586" s="6" t="s">
        <v>11</v>
      </c>
      <c r="F586" s="45">
        <v>258.62068965517244</v>
      </c>
      <c r="G586" s="6" t="s">
        <v>15</v>
      </c>
      <c r="H586" s="6"/>
      <c r="I586" s="65" t="s">
        <v>83</v>
      </c>
    </row>
    <row r="587" spans="1:9" ht="15.75" x14ac:dyDescent="0.25">
      <c r="A587" s="6" t="s">
        <v>33</v>
      </c>
      <c r="B587" s="5">
        <v>45611</v>
      </c>
      <c r="C587" s="6" t="s">
        <v>838</v>
      </c>
      <c r="D587" s="6" t="s">
        <v>14</v>
      </c>
      <c r="E587" s="6" t="s">
        <v>10</v>
      </c>
      <c r="F587" s="45">
        <v>301.72413793103448</v>
      </c>
      <c r="G587" s="6" t="s">
        <v>8</v>
      </c>
      <c r="H587" s="6"/>
      <c r="I587" s="65" t="s">
        <v>83</v>
      </c>
    </row>
    <row r="588" spans="1:9" ht="15.75" x14ac:dyDescent="0.25">
      <c r="A588" s="6" t="s">
        <v>33</v>
      </c>
      <c r="B588" s="5">
        <v>45615</v>
      </c>
      <c r="C588" s="6" t="s">
        <v>839</v>
      </c>
      <c r="D588" s="6" t="s">
        <v>840</v>
      </c>
      <c r="E588" s="6" t="s">
        <v>10</v>
      </c>
      <c r="F588" s="45">
        <v>1189.6637931034484</v>
      </c>
      <c r="G588" s="6" t="s">
        <v>8</v>
      </c>
      <c r="H588" s="6"/>
      <c r="I588" s="65" t="s">
        <v>83</v>
      </c>
    </row>
    <row r="589" spans="1:9" ht="15.75" x14ac:dyDescent="0.25">
      <c r="A589" s="6" t="s">
        <v>33</v>
      </c>
      <c r="B589" s="5">
        <v>45616</v>
      </c>
      <c r="C589" s="6" t="s">
        <v>841</v>
      </c>
      <c r="D589" s="6" t="s">
        <v>14</v>
      </c>
      <c r="E589" s="6" t="s">
        <v>9</v>
      </c>
      <c r="F589" s="45">
        <v>172.41379310344828</v>
      </c>
      <c r="G589" s="6" t="s">
        <v>8</v>
      </c>
      <c r="H589" s="6"/>
      <c r="I589" s="65" t="s">
        <v>83</v>
      </c>
    </row>
    <row r="590" spans="1:9" ht="15.75" x14ac:dyDescent="0.25">
      <c r="A590" s="6" t="s">
        <v>33</v>
      </c>
      <c r="B590" s="5">
        <v>45618</v>
      </c>
      <c r="C590" s="6" t="s">
        <v>842</v>
      </c>
      <c r="D590" s="6" t="s">
        <v>22</v>
      </c>
      <c r="E590" s="6"/>
      <c r="F590" s="45">
        <v>0</v>
      </c>
      <c r="G590" s="7"/>
      <c r="H590" s="6"/>
      <c r="I590" s="65" t="s">
        <v>83</v>
      </c>
    </row>
    <row r="591" spans="1:9" ht="15.75" x14ac:dyDescent="0.25">
      <c r="A591" s="6" t="s">
        <v>33</v>
      </c>
      <c r="B591" s="5">
        <v>45618</v>
      </c>
      <c r="C591" s="6" t="s">
        <v>843</v>
      </c>
      <c r="D591" s="6" t="s">
        <v>844</v>
      </c>
      <c r="E591" s="6" t="s">
        <v>10</v>
      </c>
      <c r="F591" s="45">
        <v>1465.5172413793105</v>
      </c>
      <c r="G591" s="6" t="s">
        <v>8</v>
      </c>
      <c r="H591" s="6"/>
      <c r="I591" s="65" t="s">
        <v>83</v>
      </c>
    </row>
    <row r="592" spans="1:9" ht="15.75" x14ac:dyDescent="0.25">
      <c r="A592" s="6" t="s">
        <v>33</v>
      </c>
      <c r="B592" s="5">
        <v>45618</v>
      </c>
      <c r="C592" s="6" t="s">
        <v>845</v>
      </c>
      <c r="D592" s="6" t="s">
        <v>30</v>
      </c>
      <c r="E592" s="6"/>
      <c r="F592" s="45">
        <v>0</v>
      </c>
      <c r="G592" s="6"/>
      <c r="H592" s="6"/>
      <c r="I592" s="65" t="s">
        <v>83</v>
      </c>
    </row>
    <row r="593" spans="1:9" ht="15.75" x14ac:dyDescent="0.25">
      <c r="A593" s="6" t="s">
        <v>33</v>
      </c>
      <c r="B593" s="5">
        <v>45619</v>
      </c>
      <c r="C593" s="6" t="s">
        <v>846</v>
      </c>
      <c r="D593" s="6" t="s">
        <v>847</v>
      </c>
      <c r="E593" s="6" t="s">
        <v>20</v>
      </c>
      <c r="F593" s="45">
        <v>1629.3103448275863</v>
      </c>
      <c r="G593" s="6" t="s">
        <v>8</v>
      </c>
      <c r="H593" s="6" t="s">
        <v>50</v>
      </c>
      <c r="I593" s="65" t="s">
        <v>83</v>
      </c>
    </row>
    <row r="594" spans="1:9" ht="15.75" x14ac:dyDescent="0.25">
      <c r="A594" s="6" t="s">
        <v>33</v>
      </c>
      <c r="B594" s="5">
        <v>45619</v>
      </c>
      <c r="C594" s="6" t="s">
        <v>848</v>
      </c>
      <c r="D594" s="6" t="s">
        <v>14</v>
      </c>
      <c r="E594" s="6" t="s">
        <v>10</v>
      </c>
      <c r="F594" s="45">
        <v>413.79310344827587</v>
      </c>
      <c r="G594" s="6" t="s">
        <v>8</v>
      </c>
      <c r="H594" s="6"/>
      <c r="I594" s="65" t="s">
        <v>83</v>
      </c>
    </row>
    <row r="595" spans="1:9" ht="15.75" x14ac:dyDescent="0.25">
      <c r="A595" s="6" t="s">
        <v>33</v>
      </c>
      <c r="B595" s="5">
        <v>45621</v>
      </c>
      <c r="C595" s="6" t="s">
        <v>849</v>
      </c>
      <c r="D595" s="6" t="s">
        <v>26</v>
      </c>
      <c r="E595" s="6" t="s">
        <v>16</v>
      </c>
      <c r="F595" s="45">
        <v>1724.1379310344828</v>
      </c>
      <c r="G595" s="6" t="s">
        <v>13</v>
      </c>
      <c r="H595" s="6"/>
      <c r="I595" s="65" t="s">
        <v>83</v>
      </c>
    </row>
    <row r="596" spans="1:9" ht="15.75" x14ac:dyDescent="0.25">
      <c r="A596" s="6" t="s">
        <v>33</v>
      </c>
      <c r="B596" s="5">
        <v>45621</v>
      </c>
      <c r="C596" s="6" t="s">
        <v>850</v>
      </c>
      <c r="D596" s="6" t="s">
        <v>14</v>
      </c>
      <c r="E596" s="6" t="s">
        <v>16</v>
      </c>
      <c r="F596" s="45">
        <v>721.00000000000011</v>
      </c>
      <c r="G596" s="6" t="s">
        <v>15</v>
      </c>
      <c r="H596" s="6"/>
      <c r="I596" s="65" t="s">
        <v>83</v>
      </c>
    </row>
    <row r="597" spans="1:9" ht="15.75" x14ac:dyDescent="0.25">
      <c r="A597" s="6" t="s">
        <v>33</v>
      </c>
      <c r="B597" s="5">
        <v>45621</v>
      </c>
      <c r="C597" s="6" t="s">
        <v>851</v>
      </c>
      <c r="D597" s="6" t="s">
        <v>852</v>
      </c>
      <c r="E597" s="6" t="s">
        <v>18</v>
      </c>
      <c r="F597" s="45">
        <v>517.23275862068965</v>
      </c>
      <c r="G597" s="6" t="s">
        <v>8</v>
      </c>
      <c r="H597" s="6"/>
      <c r="I597" s="65" t="s">
        <v>83</v>
      </c>
    </row>
    <row r="598" spans="1:9" ht="15.75" x14ac:dyDescent="0.25">
      <c r="A598" s="6" t="s">
        <v>33</v>
      </c>
      <c r="B598" s="5">
        <v>45622</v>
      </c>
      <c r="C598" s="6" t="s">
        <v>853</v>
      </c>
      <c r="D598" s="6" t="s">
        <v>22</v>
      </c>
      <c r="E598" s="6" t="s">
        <v>10</v>
      </c>
      <c r="F598" s="45">
        <v>981.00000000000011</v>
      </c>
      <c r="G598" s="6" t="s">
        <v>34</v>
      </c>
      <c r="H598" s="6"/>
      <c r="I598" s="65" t="s">
        <v>83</v>
      </c>
    </row>
    <row r="599" spans="1:9" ht="15.75" x14ac:dyDescent="0.25">
      <c r="A599" s="6" t="s">
        <v>33</v>
      </c>
      <c r="B599" s="5">
        <v>45622</v>
      </c>
      <c r="C599" s="6" t="s">
        <v>854</v>
      </c>
      <c r="D599" s="6" t="s">
        <v>14</v>
      </c>
      <c r="E599" s="6" t="s">
        <v>16</v>
      </c>
      <c r="F599" s="45">
        <v>1997.0000000000002</v>
      </c>
      <c r="G599" s="6" t="s">
        <v>15</v>
      </c>
      <c r="H599" s="6"/>
      <c r="I599" s="65" t="s">
        <v>83</v>
      </c>
    </row>
    <row r="600" spans="1:9" ht="15.75" x14ac:dyDescent="0.25">
      <c r="A600" s="6" t="s">
        <v>33</v>
      </c>
      <c r="B600" s="5">
        <v>45622</v>
      </c>
      <c r="C600" s="6" t="s">
        <v>855</v>
      </c>
      <c r="D600" s="6" t="s">
        <v>14</v>
      </c>
      <c r="E600" s="6" t="s">
        <v>16</v>
      </c>
      <c r="F600" s="45">
        <v>9538.6637931034493</v>
      </c>
      <c r="G600" s="6" t="s">
        <v>15</v>
      </c>
      <c r="H600" s="6"/>
      <c r="I600" s="65" t="s">
        <v>83</v>
      </c>
    </row>
    <row r="601" spans="1:9" ht="15.75" x14ac:dyDescent="0.25">
      <c r="A601" s="6" t="s">
        <v>33</v>
      </c>
      <c r="B601" s="5">
        <v>45623</v>
      </c>
      <c r="C601" s="6" t="s">
        <v>856</v>
      </c>
      <c r="D601" s="6" t="s">
        <v>857</v>
      </c>
      <c r="E601" s="6" t="s">
        <v>11</v>
      </c>
      <c r="F601" s="45">
        <v>258.62068965517244</v>
      </c>
      <c r="G601" s="6" t="s">
        <v>15</v>
      </c>
      <c r="H601" s="6"/>
      <c r="I601" s="65" t="s">
        <v>83</v>
      </c>
    </row>
    <row r="602" spans="1:9" ht="15.75" x14ac:dyDescent="0.25">
      <c r="A602" s="6" t="s">
        <v>33</v>
      </c>
      <c r="B602" s="5">
        <v>45624</v>
      </c>
      <c r="C602" s="6" t="s">
        <v>858</v>
      </c>
      <c r="D602" s="6" t="s">
        <v>241</v>
      </c>
      <c r="E602" s="6" t="s">
        <v>16</v>
      </c>
      <c r="F602" s="45">
        <v>40217.000000000007</v>
      </c>
      <c r="G602" s="6" t="s">
        <v>13</v>
      </c>
      <c r="H602" s="6"/>
      <c r="I602" s="65" t="s">
        <v>83</v>
      </c>
    </row>
    <row r="603" spans="1:9" ht="15.75" x14ac:dyDescent="0.25">
      <c r="A603" s="6" t="s">
        <v>33</v>
      </c>
      <c r="B603" s="5">
        <v>45624</v>
      </c>
      <c r="C603" s="6" t="s">
        <v>859</v>
      </c>
      <c r="D603" s="6" t="s">
        <v>860</v>
      </c>
      <c r="E603" s="6" t="s">
        <v>27</v>
      </c>
      <c r="F603" s="45">
        <v>47500</v>
      </c>
      <c r="G603" s="6" t="s">
        <v>49</v>
      </c>
      <c r="H603" s="6"/>
      <c r="I603" s="65" t="s">
        <v>83</v>
      </c>
    </row>
    <row r="604" spans="1:9" ht="15.75" x14ac:dyDescent="0.25">
      <c r="A604" s="6" t="s">
        <v>33</v>
      </c>
      <c r="B604" s="5">
        <v>45624</v>
      </c>
      <c r="C604" s="6" t="s">
        <v>861</v>
      </c>
      <c r="D604" s="6" t="s">
        <v>862</v>
      </c>
      <c r="E604" s="6" t="s">
        <v>16</v>
      </c>
      <c r="F604" s="45">
        <v>12238</v>
      </c>
      <c r="G604" s="6" t="s">
        <v>15</v>
      </c>
      <c r="H604" s="6"/>
      <c r="I604" s="65" t="s">
        <v>83</v>
      </c>
    </row>
    <row r="605" spans="1:9" ht="15.75" x14ac:dyDescent="0.25">
      <c r="A605" s="6" t="s">
        <v>33</v>
      </c>
      <c r="B605" s="5">
        <v>45621</v>
      </c>
      <c r="C605" s="6" t="s">
        <v>863</v>
      </c>
      <c r="D605" s="6" t="s">
        <v>781</v>
      </c>
      <c r="E605" s="6" t="s">
        <v>16</v>
      </c>
      <c r="F605" s="45">
        <v>6610.0000000000009</v>
      </c>
      <c r="G605" s="6" t="s">
        <v>13</v>
      </c>
      <c r="H605" s="6"/>
      <c r="I605" s="65" t="s">
        <v>83</v>
      </c>
    </row>
    <row r="606" spans="1:9" ht="15.75" x14ac:dyDescent="0.25">
      <c r="A606" s="6" t="s">
        <v>33</v>
      </c>
      <c r="B606" s="5">
        <v>45621</v>
      </c>
      <c r="C606" s="6" t="s">
        <v>864</v>
      </c>
      <c r="D606" s="6" t="s">
        <v>781</v>
      </c>
      <c r="E606" s="6" t="s">
        <v>16</v>
      </c>
      <c r="F606" s="45">
        <v>3870</v>
      </c>
      <c r="G606" s="6" t="s">
        <v>13</v>
      </c>
      <c r="H606" s="6"/>
      <c r="I606" s="65" t="s">
        <v>83</v>
      </c>
    </row>
    <row r="607" spans="1:9" ht="15.75" x14ac:dyDescent="0.25">
      <c r="A607" s="6" t="s">
        <v>33</v>
      </c>
      <c r="B607" s="5">
        <v>45625</v>
      </c>
      <c r="C607" s="6" t="s">
        <v>865</v>
      </c>
      <c r="D607" s="6" t="s">
        <v>22</v>
      </c>
      <c r="E607" s="6" t="s">
        <v>10</v>
      </c>
      <c r="F607" s="45">
        <v>3123</v>
      </c>
      <c r="G607" s="6" t="s">
        <v>34</v>
      </c>
      <c r="H607" s="6"/>
      <c r="I607" s="65" t="s">
        <v>83</v>
      </c>
    </row>
    <row r="608" spans="1:9" ht="15.75" x14ac:dyDescent="0.25">
      <c r="A608" s="6" t="s">
        <v>33</v>
      </c>
      <c r="B608" s="5">
        <v>45625</v>
      </c>
      <c r="C608" s="6" t="s">
        <v>866</v>
      </c>
      <c r="D608" s="6" t="s">
        <v>22</v>
      </c>
      <c r="E608" s="6" t="s">
        <v>10</v>
      </c>
      <c r="F608" s="45">
        <v>2911.5000000000005</v>
      </c>
      <c r="G608" s="6" t="s">
        <v>34</v>
      </c>
      <c r="H608" s="6"/>
      <c r="I608" s="65" t="s">
        <v>83</v>
      </c>
    </row>
    <row r="609" spans="1:10" ht="15.75" x14ac:dyDescent="0.25">
      <c r="A609" s="20" t="s">
        <v>33</v>
      </c>
      <c r="B609" s="19">
        <v>45625</v>
      </c>
      <c r="C609" s="20" t="s">
        <v>867</v>
      </c>
      <c r="D609" s="20" t="s">
        <v>22</v>
      </c>
      <c r="E609" s="20" t="s">
        <v>23</v>
      </c>
      <c r="F609" s="47">
        <v>16830</v>
      </c>
      <c r="G609" s="20" t="s">
        <v>13</v>
      </c>
      <c r="H609" s="20" t="s">
        <v>36</v>
      </c>
      <c r="I609" s="68" t="s">
        <v>83</v>
      </c>
      <c r="J609" s="8" t="s">
        <v>2046</v>
      </c>
    </row>
    <row r="610" spans="1:10" ht="15.75" x14ac:dyDescent="0.25">
      <c r="A610" s="6" t="s">
        <v>33</v>
      </c>
      <c r="B610" s="5">
        <v>45625</v>
      </c>
      <c r="C610" s="6" t="s">
        <v>868</v>
      </c>
      <c r="D610" s="6" t="s">
        <v>869</v>
      </c>
      <c r="E610" s="6" t="s">
        <v>10</v>
      </c>
      <c r="F610" s="45">
        <v>17534</v>
      </c>
      <c r="G610" s="6" t="s">
        <v>13</v>
      </c>
      <c r="H610" s="6"/>
      <c r="I610" s="65" t="s">
        <v>83</v>
      </c>
    </row>
    <row r="611" spans="1:10" ht="15.75" x14ac:dyDescent="0.25">
      <c r="A611" s="6" t="s">
        <v>33</v>
      </c>
      <c r="B611" s="5">
        <v>45626</v>
      </c>
      <c r="C611" s="6" t="s">
        <v>870</v>
      </c>
      <c r="D611" s="6" t="s">
        <v>14</v>
      </c>
      <c r="E611" s="6" t="s">
        <v>10</v>
      </c>
      <c r="F611" s="45">
        <v>172.41379310344828</v>
      </c>
      <c r="G611" s="6" t="s">
        <v>8</v>
      </c>
      <c r="H611" s="6"/>
      <c r="I611" s="65" t="s">
        <v>83</v>
      </c>
    </row>
    <row r="612" spans="1:10" ht="15.75" x14ac:dyDescent="0.25">
      <c r="A612" s="6" t="s">
        <v>33</v>
      </c>
      <c r="B612" s="5">
        <v>45626</v>
      </c>
      <c r="C612" s="6" t="s">
        <v>871</v>
      </c>
      <c r="D612" s="6" t="s">
        <v>14</v>
      </c>
      <c r="E612" s="6" t="s">
        <v>10</v>
      </c>
      <c r="F612" s="45">
        <v>172.41379310344828</v>
      </c>
      <c r="G612" s="6" t="s">
        <v>8</v>
      </c>
      <c r="H612" s="6"/>
      <c r="I612" s="65" t="s">
        <v>83</v>
      </c>
    </row>
    <row r="613" spans="1:10" ht="15.75" x14ac:dyDescent="0.25">
      <c r="A613" s="6" t="s">
        <v>33</v>
      </c>
      <c r="B613" s="5">
        <v>45630</v>
      </c>
      <c r="C613" s="6" t="s">
        <v>872</v>
      </c>
      <c r="D613" s="6" t="s">
        <v>873</v>
      </c>
      <c r="E613" s="6"/>
      <c r="F613" s="45">
        <v>0</v>
      </c>
      <c r="G613" s="6"/>
      <c r="H613" s="6"/>
      <c r="I613" s="65" t="s">
        <v>83</v>
      </c>
    </row>
    <row r="614" spans="1:10" ht="15.75" x14ac:dyDescent="0.25">
      <c r="A614" s="6" t="s">
        <v>33</v>
      </c>
      <c r="B614" s="5">
        <v>45632</v>
      </c>
      <c r="C614" s="6" t="s">
        <v>874</v>
      </c>
      <c r="D614" s="6" t="s">
        <v>875</v>
      </c>
      <c r="E614" s="6" t="s">
        <v>23</v>
      </c>
      <c r="F614" s="45">
        <v>7040</v>
      </c>
      <c r="G614" s="6" t="s">
        <v>13</v>
      </c>
      <c r="H614" s="6" t="s">
        <v>36</v>
      </c>
      <c r="I614" s="65" t="s">
        <v>83</v>
      </c>
    </row>
    <row r="615" spans="1:10" ht="15.75" x14ac:dyDescent="0.25">
      <c r="A615" s="6" t="s">
        <v>33</v>
      </c>
      <c r="B615" s="5">
        <v>45632</v>
      </c>
      <c r="C615" s="6" t="s">
        <v>876</v>
      </c>
      <c r="D615" s="6" t="s">
        <v>877</v>
      </c>
      <c r="E615" s="6" t="s">
        <v>18</v>
      </c>
      <c r="F615" s="45">
        <v>413.79310344827587</v>
      </c>
      <c r="G615" s="6" t="s">
        <v>8</v>
      </c>
      <c r="H615" s="6"/>
      <c r="I615" s="65" t="s">
        <v>83</v>
      </c>
    </row>
    <row r="616" spans="1:10" ht="15.75" x14ac:dyDescent="0.25">
      <c r="A616" s="6" t="s">
        <v>33</v>
      </c>
      <c r="B616" s="5">
        <v>45632</v>
      </c>
      <c r="C616" s="6" t="s">
        <v>878</v>
      </c>
      <c r="D616" s="6" t="s">
        <v>53</v>
      </c>
      <c r="E616" s="6" t="s">
        <v>23</v>
      </c>
      <c r="F616" s="45">
        <v>14080</v>
      </c>
      <c r="G616" s="6" t="s">
        <v>13</v>
      </c>
      <c r="H616" s="6" t="s">
        <v>879</v>
      </c>
      <c r="I616" s="65" t="s">
        <v>83</v>
      </c>
    </row>
    <row r="617" spans="1:10" ht="15.75" x14ac:dyDescent="0.25">
      <c r="A617" s="6" t="s">
        <v>33</v>
      </c>
      <c r="B617" s="5">
        <v>45636</v>
      </c>
      <c r="C617" s="6" t="s">
        <v>880</v>
      </c>
      <c r="D617" s="6" t="s">
        <v>14</v>
      </c>
      <c r="E617" s="6" t="s">
        <v>10</v>
      </c>
      <c r="F617" s="45">
        <v>172.41379310344828</v>
      </c>
      <c r="G617" s="6" t="s">
        <v>8</v>
      </c>
      <c r="H617" s="6"/>
      <c r="I617" s="65" t="s">
        <v>83</v>
      </c>
    </row>
    <row r="618" spans="1:10" ht="15.75" x14ac:dyDescent="0.25">
      <c r="A618" s="6" t="s">
        <v>33</v>
      </c>
      <c r="B618" s="5">
        <v>45636</v>
      </c>
      <c r="C618" s="6" t="s">
        <v>881</v>
      </c>
      <c r="D618" s="6" t="s">
        <v>14</v>
      </c>
      <c r="E618" s="6" t="s">
        <v>16</v>
      </c>
      <c r="F618" s="45">
        <v>883</v>
      </c>
      <c r="G618" s="6" t="s">
        <v>15</v>
      </c>
      <c r="H618" s="6"/>
      <c r="I618" s="65" t="s">
        <v>83</v>
      </c>
    </row>
    <row r="619" spans="1:10" ht="15.75" x14ac:dyDescent="0.25">
      <c r="A619" s="6" t="s">
        <v>33</v>
      </c>
      <c r="B619" s="5">
        <v>45636</v>
      </c>
      <c r="C619" s="6" t="s">
        <v>882</v>
      </c>
      <c r="D619" s="6" t="s">
        <v>22</v>
      </c>
      <c r="E619" s="6" t="s">
        <v>10</v>
      </c>
      <c r="F619" s="45">
        <v>670.45689655172418</v>
      </c>
      <c r="G619" s="6" t="s">
        <v>34</v>
      </c>
      <c r="H619" s="6"/>
      <c r="I619" s="65" t="s">
        <v>83</v>
      </c>
    </row>
    <row r="620" spans="1:10" ht="15.75" x14ac:dyDescent="0.25">
      <c r="A620" s="6" t="s">
        <v>33</v>
      </c>
      <c r="B620" s="5">
        <v>45636</v>
      </c>
      <c r="C620" s="6" t="s">
        <v>883</v>
      </c>
      <c r="D620" s="6" t="s">
        <v>14</v>
      </c>
      <c r="E620" s="6" t="s">
        <v>10</v>
      </c>
      <c r="F620" s="45">
        <v>258.62068965517244</v>
      </c>
      <c r="G620" s="6" t="s">
        <v>8</v>
      </c>
      <c r="H620" s="6"/>
      <c r="I620" s="65" t="s">
        <v>83</v>
      </c>
    </row>
    <row r="621" spans="1:10" ht="15.75" x14ac:dyDescent="0.25">
      <c r="A621" s="6" t="s">
        <v>33</v>
      </c>
      <c r="B621" s="5">
        <v>45636</v>
      </c>
      <c r="C621" s="6" t="s">
        <v>884</v>
      </c>
      <c r="D621" s="6" t="s">
        <v>14</v>
      </c>
      <c r="E621" s="6" t="s">
        <v>16</v>
      </c>
      <c r="F621" s="45">
        <v>2204</v>
      </c>
      <c r="G621" s="6" t="s">
        <v>15</v>
      </c>
      <c r="H621" s="6"/>
      <c r="I621" s="65" t="s">
        <v>83</v>
      </c>
    </row>
    <row r="622" spans="1:10" ht="15.75" x14ac:dyDescent="0.25">
      <c r="A622" s="6" t="s">
        <v>33</v>
      </c>
      <c r="B622" s="5">
        <v>45636</v>
      </c>
      <c r="C622" s="6" t="s">
        <v>885</v>
      </c>
      <c r="D622" s="6" t="s">
        <v>14</v>
      </c>
      <c r="E622" s="6" t="s">
        <v>10</v>
      </c>
      <c r="F622" s="45">
        <v>129.31896551724137</v>
      </c>
      <c r="G622" s="6" t="s">
        <v>8</v>
      </c>
      <c r="H622" s="6"/>
      <c r="I622" s="65" t="s">
        <v>83</v>
      </c>
    </row>
    <row r="623" spans="1:10" ht="15.75" x14ac:dyDescent="0.25">
      <c r="A623" s="6" t="s">
        <v>33</v>
      </c>
      <c r="B623" s="5">
        <v>45636</v>
      </c>
      <c r="C623" s="6" t="s">
        <v>886</v>
      </c>
      <c r="D623" s="6" t="s">
        <v>14</v>
      </c>
      <c r="E623" s="6" t="s">
        <v>11</v>
      </c>
      <c r="F623" s="45">
        <v>258.62068965517244</v>
      </c>
      <c r="G623" s="6" t="s">
        <v>15</v>
      </c>
      <c r="H623" s="6"/>
      <c r="I623" s="65" t="s">
        <v>83</v>
      </c>
    </row>
    <row r="624" spans="1:10" ht="15.75" x14ac:dyDescent="0.25">
      <c r="A624" s="6" t="s">
        <v>33</v>
      </c>
      <c r="B624" s="5">
        <v>45636</v>
      </c>
      <c r="C624" s="6" t="s">
        <v>887</v>
      </c>
      <c r="D624" s="6" t="s">
        <v>14</v>
      </c>
      <c r="E624" s="6" t="s">
        <v>18</v>
      </c>
      <c r="F624" s="45">
        <v>359.49137931034483</v>
      </c>
      <c r="G624" s="6" t="s">
        <v>8</v>
      </c>
      <c r="H624" s="6"/>
      <c r="I624" s="65" t="s">
        <v>83</v>
      </c>
    </row>
    <row r="625" spans="1:9" ht="15.75" x14ac:dyDescent="0.25">
      <c r="A625" s="6" t="s">
        <v>33</v>
      </c>
      <c r="B625" s="5">
        <v>45637</v>
      </c>
      <c r="C625" s="6" t="s">
        <v>888</v>
      </c>
      <c r="D625" s="6" t="s">
        <v>14</v>
      </c>
      <c r="E625" s="6" t="s">
        <v>16</v>
      </c>
      <c r="F625" s="45">
        <v>1974.0000000000002</v>
      </c>
      <c r="G625" s="6" t="s">
        <v>15</v>
      </c>
      <c r="H625" s="6"/>
      <c r="I625" s="65" t="s">
        <v>83</v>
      </c>
    </row>
    <row r="626" spans="1:9" ht="15.75" x14ac:dyDescent="0.25">
      <c r="A626" s="6" t="s">
        <v>33</v>
      </c>
      <c r="B626" s="5">
        <v>45637</v>
      </c>
      <c r="C626" s="6" t="s">
        <v>889</v>
      </c>
      <c r="D626" s="7" t="s">
        <v>14</v>
      </c>
      <c r="E626" s="6" t="s">
        <v>16</v>
      </c>
      <c r="F626" s="45">
        <v>1409.0000000000002</v>
      </c>
      <c r="G626" s="7" t="s">
        <v>15</v>
      </c>
      <c r="H626" s="6"/>
      <c r="I626" s="65" t="s">
        <v>83</v>
      </c>
    </row>
    <row r="627" spans="1:9" ht="15.75" x14ac:dyDescent="0.25">
      <c r="A627" s="6" t="s">
        <v>33</v>
      </c>
      <c r="B627" s="5">
        <v>45637</v>
      </c>
      <c r="C627" s="6" t="s">
        <v>890</v>
      </c>
      <c r="D627" s="6" t="s">
        <v>14</v>
      </c>
      <c r="E627" s="6" t="s">
        <v>27</v>
      </c>
      <c r="F627" s="45">
        <v>480</v>
      </c>
      <c r="G627" s="6" t="s">
        <v>15</v>
      </c>
      <c r="H627" s="6"/>
      <c r="I627" s="65" t="s">
        <v>83</v>
      </c>
    </row>
    <row r="628" spans="1:9" ht="15.75" x14ac:dyDescent="0.25">
      <c r="A628" s="6" t="s">
        <v>33</v>
      </c>
      <c r="B628" s="5">
        <v>45637</v>
      </c>
      <c r="C628" s="6" t="s">
        <v>891</v>
      </c>
      <c r="D628" s="6" t="s">
        <v>22</v>
      </c>
      <c r="E628" s="6"/>
      <c r="F628" s="45">
        <v>0</v>
      </c>
      <c r="G628" s="6"/>
      <c r="H628" s="6"/>
      <c r="I628" s="65" t="s">
        <v>83</v>
      </c>
    </row>
    <row r="629" spans="1:9" ht="15.75" x14ac:dyDescent="0.25">
      <c r="A629" s="6" t="s">
        <v>33</v>
      </c>
      <c r="B629" s="5">
        <v>45639</v>
      </c>
      <c r="C629" s="6" t="s">
        <v>892</v>
      </c>
      <c r="D629" s="6" t="s">
        <v>53</v>
      </c>
      <c r="E629" s="6" t="s">
        <v>23</v>
      </c>
      <c r="F629" s="45">
        <v>21428</v>
      </c>
      <c r="G629" s="6" t="s">
        <v>13</v>
      </c>
      <c r="H629" s="6" t="s">
        <v>39</v>
      </c>
      <c r="I629" s="65" t="s">
        <v>83</v>
      </c>
    </row>
    <row r="630" spans="1:9" ht="15.75" x14ac:dyDescent="0.25">
      <c r="A630" s="6" t="s">
        <v>33</v>
      </c>
      <c r="B630" s="5">
        <v>45639</v>
      </c>
      <c r="C630" s="6" t="s">
        <v>893</v>
      </c>
      <c r="D630" s="6" t="s">
        <v>14</v>
      </c>
      <c r="E630" s="6" t="s">
        <v>16</v>
      </c>
      <c r="F630" s="45">
        <v>2001</v>
      </c>
      <c r="G630" s="6" t="s">
        <v>15</v>
      </c>
      <c r="H630" s="6"/>
      <c r="I630" s="65" t="s">
        <v>83</v>
      </c>
    </row>
    <row r="631" spans="1:9" ht="15.75" x14ac:dyDescent="0.25">
      <c r="A631" s="6" t="s">
        <v>33</v>
      </c>
      <c r="B631" s="5">
        <v>45640</v>
      </c>
      <c r="C631" s="6" t="s">
        <v>894</v>
      </c>
      <c r="D631" s="6" t="s">
        <v>895</v>
      </c>
      <c r="E631" s="6" t="s">
        <v>18</v>
      </c>
      <c r="F631" s="45">
        <v>129.31034482758622</v>
      </c>
      <c r="G631" s="6" t="s">
        <v>8</v>
      </c>
      <c r="H631" s="6"/>
      <c r="I631" s="65" t="s">
        <v>83</v>
      </c>
    </row>
    <row r="632" spans="1:9" ht="15.75" x14ac:dyDescent="0.25">
      <c r="A632" s="6" t="s">
        <v>33</v>
      </c>
      <c r="B632" s="5">
        <v>45642</v>
      </c>
      <c r="C632" s="6" t="s">
        <v>896</v>
      </c>
      <c r="D632" s="6" t="s">
        <v>14</v>
      </c>
      <c r="E632" s="6" t="s">
        <v>11</v>
      </c>
      <c r="F632" s="45">
        <v>258.62068965517244</v>
      </c>
      <c r="G632" s="6" t="s">
        <v>15</v>
      </c>
      <c r="H632" s="6"/>
      <c r="I632" s="65" t="s">
        <v>83</v>
      </c>
    </row>
    <row r="633" spans="1:9" ht="15.75" x14ac:dyDescent="0.25">
      <c r="A633" s="6" t="s">
        <v>33</v>
      </c>
      <c r="B633" s="5">
        <v>45642</v>
      </c>
      <c r="C633" s="6" t="s">
        <v>897</v>
      </c>
      <c r="D633" s="6" t="s">
        <v>321</v>
      </c>
      <c r="E633" s="6" t="s">
        <v>18</v>
      </c>
      <c r="F633" s="45">
        <v>1724.1379310344828</v>
      </c>
      <c r="G633" s="6" t="s">
        <v>15</v>
      </c>
      <c r="H633" s="6"/>
      <c r="I633" s="65" t="s">
        <v>83</v>
      </c>
    </row>
    <row r="634" spans="1:9" ht="15.75" x14ac:dyDescent="0.25">
      <c r="A634" s="6" t="s">
        <v>33</v>
      </c>
      <c r="B634" s="5">
        <v>45642</v>
      </c>
      <c r="C634" s="6" t="s">
        <v>898</v>
      </c>
      <c r="D634" s="6" t="s">
        <v>321</v>
      </c>
      <c r="E634" s="6" t="s">
        <v>16</v>
      </c>
      <c r="F634" s="45">
        <v>1724.1379310344828</v>
      </c>
      <c r="G634" s="6" t="s">
        <v>15</v>
      </c>
      <c r="H634" s="6"/>
      <c r="I634" s="65" t="s">
        <v>83</v>
      </c>
    </row>
    <row r="635" spans="1:9" ht="15.75" x14ac:dyDescent="0.25">
      <c r="A635" s="6" t="s">
        <v>33</v>
      </c>
      <c r="B635" s="5">
        <v>45642</v>
      </c>
      <c r="C635" s="6" t="s">
        <v>899</v>
      </c>
      <c r="D635" s="6" t="s">
        <v>14</v>
      </c>
      <c r="E635" s="6" t="s">
        <v>20</v>
      </c>
      <c r="F635" s="45">
        <v>3103.4482758620693</v>
      </c>
      <c r="G635" s="6" t="s">
        <v>8</v>
      </c>
      <c r="H635" s="6" t="s">
        <v>44</v>
      </c>
      <c r="I635" s="65" t="s">
        <v>83</v>
      </c>
    </row>
    <row r="636" spans="1:9" ht="15.75" x14ac:dyDescent="0.25">
      <c r="A636" s="6" t="s">
        <v>33</v>
      </c>
      <c r="B636" s="5">
        <v>45642</v>
      </c>
      <c r="C636" s="6" t="s">
        <v>900</v>
      </c>
      <c r="D636" s="6" t="s">
        <v>321</v>
      </c>
      <c r="E636" s="6" t="s">
        <v>18</v>
      </c>
      <c r="F636" s="45">
        <v>1213.7241379310346</v>
      </c>
      <c r="G636" s="6" t="s">
        <v>15</v>
      </c>
      <c r="H636" s="6"/>
      <c r="I636" s="65" t="s">
        <v>83</v>
      </c>
    </row>
    <row r="637" spans="1:9" ht="15.75" x14ac:dyDescent="0.25">
      <c r="A637" s="6" t="s">
        <v>33</v>
      </c>
      <c r="B637" s="5">
        <v>45642</v>
      </c>
      <c r="C637" s="6" t="s">
        <v>901</v>
      </c>
      <c r="D637" s="6" t="s">
        <v>902</v>
      </c>
      <c r="E637" s="6" t="s">
        <v>20</v>
      </c>
      <c r="F637" s="45">
        <v>9406.8965517241377</v>
      </c>
      <c r="G637" s="6" t="s">
        <v>13</v>
      </c>
      <c r="H637" s="6" t="s">
        <v>903</v>
      </c>
      <c r="I637" s="65" t="s">
        <v>83</v>
      </c>
    </row>
    <row r="638" spans="1:9" ht="15.75" x14ac:dyDescent="0.25">
      <c r="A638" s="6" t="s">
        <v>33</v>
      </c>
      <c r="B638" s="5">
        <v>45643</v>
      </c>
      <c r="C638" s="6" t="s">
        <v>904</v>
      </c>
      <c r="D638" s="6" t="s">
        <v>59</v>
      </c>
      <c r="E638" s="6" t="s">
        <v>16</v>
      </c>
      <c r="F638" s="45">
        <v>2707</v>
      </c>
      <c r="G638" s="6" t="s">
        <v>15</v>
      </c>
      <c r="H638" s="6"/>
      <c r="I638" s="65" t="s">
        <v>83</v>
      </c>
    </row>
    <row r="639" spans="1:9" ht="15.75" x14ac:dyDescent="0.25">
      <c r="A639" s="6" t="s">
        <v>33</v>
      </c>
      <c r="B639" s="5">
        <v>45643</v>
      </c>
      <c r="C639" s="6" t="s">
        <v>905</v>
      </c>
      <c r="D639" s="6" t="s">
        <v>14</v>
      </c>
      <c r="E639" s="6" t="s">
        <v>16</v>
      </c>
      <c r="F639" s="45">
        <v>897</v>
      </c>
      <c r="G639" s="6" t="s">
        <v>15</v>
      </c>
      <c r="H639" s="6"/>
      <c r="I639" s="65" t="s">
        <v>83</v>
      </c>
    </row>
    <row r="640" spans="1:9" ht="15.75" x14ac:dyDescent="0.25">
      <c r="A640" s="6" t="s">
        <v>33</v>
      </c>
      <c r="B640" s="5">
        <v>45643</v>
      </c>
      <c r="C640" s="6" t="s">
        <v>906</v>
      </c>
      <c r="D640" s="6" t="s">
        <v>907</v>
      </c>
      <c r="E640" s="6" t="s">
        <v>16</v>
      </c>
      <c r="F640" s="45">
        <v>1791</v>
      </c>
      <c r="G640" s="6" t="s">
        <v>15</v>
      </c>
      <c r="H640" s="6"/>
      <c r="I640" s="65" t="s">
        <v>83</v>
      </c>
    </row>
    <row r="641" spans="1:10" ht="15.75" x14ac:dyDescent="0.25">
      <c r="A641" s="6" t="s">
        <v>33</v>
      </c>
      <c r="B641" s="5">
        <v>45643</v>
      </c>
      <c r="C641" s="6" t="s">
        <v>908</v>
      </c>
      <c r="D641" s="6" t="s">
        <v>14</v>
      </c>
      <c r="E641" s="6" t="s">
        <v>16</v>
      </c>
      <c r="F641" s="45">
        <v>2230.0000000000005</v>
      </c>
      <c r="G641" s="6" t="s">
        <v>15</v>
      </c>
      <c r="H641" s="6"/>
      <c r="I641" s="65" t="s">
        <v>83</v>
      </c>
    </row>
    <row r="642" spans="1:10" ht="15.75" x14ac:dyDescent="0.25">
      <c r="A642" s="20" t="s">
        <v>33</v>
      </c>
      <c r="B642" s="19">
        <v>45644</v>
      </c>
      <c r="C642" s="20" t="s">
        <v>909</v>
      </c>
      <c r="D642" s="20" t="s">
        <v>22</v>
      </c>
      <c r="E642" s="20" t="s">
        <v>20</v>
      </c>
      <c r="F642" s="47">
        <v>3430.0000000000005</v>
      </c>
      <c r="G642" s="20" t="s">
        <v>13</v>
      </c>
      <c r="H642" s="20" t="s">
        <v>910</v>
      </c>
      <c r="I642" s="68" t="s">
        <v>83</v>
      </c>
      <c r="J642" s="8" t="s">
        <v>2047</v>
      </c>
    </row>
    <row r="643" spans="1:10" ht="15.75" x14ac:dyDescent="0.25">
      <c r="A643" s="6" t="s">
        <v>33</v>
      </c>
      <c r="B643" s="5">
        <v>45644</v>
      </c>
      <c r="C643" s="6" t="s">
        <v>911</v>
      </c>
      <c r="D643" s="6" t="s">
        <v>12</v>
      </c>
      <c r="E643" s="6" t="s">
        <v>27</v>
      </c>
      <c r="F643" s="45">
        <v>14654.198275862069</v>
      </c>
      <c r="G643" s="6" t="s">
        <v>13</v>
      </c>
      <c r="H643" s="6"/>
      <c r="I643" s="65" t="s">
        <v>83</v>
      </c>
    </row>
    <row r="644" spans="1:10" ht="15.75" x14ac:dyDescent="0.25">
      <c r="A644" s="6" t="s">
        <v>33</v>
      </c>
      <c r="B644" s="5">
        <v>45644</v>
      </c>
      <c r="C644" s="6" t="s">
        <v>912</v>
      </c>
      <c r="D644" s="6" t="s">
        <v>12</v>
      </c>
      <c r="E644" s="6" t="s">
        <v>18</v>
      </c>
      <c r="F644" s="45">
        <v>3515.0000000000005</v>
      </c>
      <c r="G644" s="6" t="s">
        <v>13</v>
      </c>
      <c r="H644" s="6"/>
      <c r="I644" s="65" t="s">
        <v>83</v>
      </c>
    </row>
    <row r="645" spans="1:10" ht="15.75" x14ac:dyDescent="0.25">
      <c r="A645" s="6" t="s">
        <v>33</v>
      </c>
      <c r="B645" s="5">
        <v>45644</v>
      </c>
      <c r="C645" s="6" t="s">
        <v>913</v>
      </c>
      <c r="D645" s="6" t="s">
        <v>14</v>
      </c>
      <c r="E645" s="6" t="s">
        <v>16</v>
      </c>
      <c r="F645" s="45">
        <v>1170.0000000000002</v>
      </c>
      <c r="G645" s="6" t="s">
        <v>15</v>
      </c>
      <c r="H645" s="6"/>
      <c r="I645" s="65" t="s">
        <v>83</v>
      </c>
    </row>
    <row r="646" spans="1:10" ht="15.75" x14ac:dyDescent="0.25">
      <c r="A646" s="6" t="s">
        <v>33</v>
      </c>
      <c r="B646" s="5">
        <v>45646</v>
      </c>
      <c r="C646" s="6" t="s">
        <v>914</v>
      </c>
      <c r="D646" s="6" t="s">
        <v>22</v>
      </c>
      <c r="E646" s="6"/>
      <c r="F646" s="45">
        <v>0</v>
      </c>
      <c r="G646" s="6"/>
      <c r="H646" s="6"/>
      <c r="I646" s="65" t="s">
        <v>83</v>
      </c>
    </row>
    <row r="647" spans="1:10" ht="15.75" x14ac:dyDescent="0.25">
      <c r="A647" s="6" t="s">
        <v>33</v>
      </c>
      <c r="B647" s="5">
        <v>45646</v>
      </c>
      <c r="C647" s="6" t="s">
        <v>915</v>
      </c>
      <c r="D647" s="6" t="s">
        <v>14</v>
      </c>
      <c r="E647" s="6" t="s">
        <v>18</v>
      </c>
      <c r="F647" s="45">
        <v>301.60344827586209</v>
      </c>
      <c r="G647" s="7" t="s">
        <v>8</v>
      </c>
      <c r="H647" s="6"/>
      <c r="I647" s="65" t="s">
        <v>83</v>
      </c>
    </row>
    <row r="648" spans="1:10" ht="15.75" x14ac:dyDescent="0.25">
      <c r="A648" s="6" t="s">
        <v>33</v>
      </c>
      <c r="B648" s="5">
        <v>45647</v>
      </c>
      <c r="C648" s="6" t="s">
        <v>916</v>
      </c>
      <c r="D648" s="6" t="s">
        <v>917</v>
      </c>
      <c r="E648" s="6" t="s">
        <v>10</v>
      </c>
      <c r="F648" s="45">
        <v>862.06896551724139</v>
      </c>
      <c r="G648" s="6" t="s">
        <v>8</v>
      </c>
      <c r="H648" s="6"/>
      <c r="I648" s="65" t="s">
        <v>83</v>
      </c>
    </row>
    <row r="649" spans="1:10" ht="15.75" x14ac:dyDescent="0.25">
      <c r="A649" s="6" t="s">
        <v>33</v>
      </c>
      <c r="B649" s="5">
        <v>45649</v>
      </c>
      <c r="C649" s="6" t="s">
        <v>918</v>
      </c>
      <c r="D649" s="6" t="s">
        <v>919</v>
      </c>
      <c r="E649" s="6" t="s">
        <v>10</v>
      </c>
      <c r="F649" s="45">
        <v>1465.5172413793105</v>
      </c>
      <c r="G649" s="6" t="s">
        <v>8</v>
      </c>
      <c r="H649" s="6"/>
      <c r="I649" s="65" t="s">
        <v>83</v>
      </c>
    </row>
    <row r="650" spans="1:10" ht="15.75" x14ac:dyDescent="0.25">
      <c r="A650" s="6" t="s">
        <v>33</v>
      </c>
      <c r="B650" s="5">
        <v>45649</v>
      </c>
      <c r="C650" s="6" t="s">
        <v>920</v>
      </c>
      <c r="D650" s="6" t="s">
        <v>781</v>
      </c>
      <c r="E650" s="6" t="s">
        <v>16</v>
      </c>
      <c r="F650" s="45">
        <v>2156</v>
      </c>
      <c r="G650" s="6" t="s">
        <v>13</v>
      </c>
      <c r="H650" s="6"/>
      <c r="I650" s="65" t="s">
        <v>83</v>
      </c>
    </row>
    <row r="651" spans="1:10" ht="15.75" x14ac:dyDescent="0.25">
      <c r="A651" s="6" t="s">
        <v>33</v>
      </c>
      <c r="B651" s="5">
        <v>45649</v>
      </c>
      <c r="C651" s="6" t="s">
        <v>921</v>
      </c>
      <c r="D651" s="6" t="s">
        <v>14</v>
      </c>
      <c r="E651" s="6" t="s">
        <v>18</v>
      </c>
      <c r="F651" s="45">
        <v>431.0344827586207</v>
      </c>
      <c r="G651" s="6" t="s">
        <v>15</v>
      </c>
      <c r="H651" s="6"/>
      <c r="I651" s="65" t="s">
        <v>83</v>
      </c>
    </row>
    <row r="652" spans="1:10" ht="15.75" x14ac:dyDescent="0.25">
      <c r="A652" s="6" t="s">
        <v>33</v>
      </c>
      <c r="B652" s="5">
        <v>45649</v>
      </c>
      <c r="C652" s="6" t="s">
        <v>922</v>
      </c>
      <c r="D652" s="6" t="s">
        <v>14</v>
      </c>
      <c r="E652" s="6" t="s">
        <v>16</v>
      </c>
      <c r="F652" s="45">
        <v>2649.0000000000005</v>
      </c>
      <c r="G652" s="6" t="s">
        <v>15</v>
      </c>
      <c r="H652" s="6"/>
      <c r="I652" s="65" t="s">
        <v>83</v>
      </c>
    </row>
    <row r="653" spans="1:10" ht="15.75" x14ac:dyDescent="0.25">
      <c r="A653" s="6" t="s">
        <v>33</v>
      </c>
      <c r="B653" s="5">
        <v>45649</v>
      </c>
      <c r="C653" s="6" t="s">
        <v>923</v>
      </c>
      <c r="D653" s="6" t="s">
        <v>924</v>
      </c>
      <c r="E653" s="6" t="s">
        <v>16</v>
      </c>
      <c r="F653" s="45">
        <v>2275</v>
      </c>
      <c r="G653" s="6" t="s">
        <v>15</v>
      </c>
      <c r="H653" s="6"/>
      <c r="I653" s="65" t="s">
        <v>83</v>
      </c>
    </row>
    <row r="654" spans="1:10" ht="15.75" x14ac:dyDescent="0.25">
      <c r="A654" s="6" t="s">
        <v>33</v>
      </c>
      <c r="B654" s="5">
        <v>45649</v>
      </c>
      <c r="C654" s="6" t="s">
        <v>925</v>
      </c>
      <c r="D654" s="6" t="s">
        <v>14</v>
      </c>
      <c r="E654" s="6" t="s">
        <v>16</v>
      </c>
      <c r="F654" s="45">
        <v>1495.0000000000002</v>
      </c>
      <c r="G654" s="6" t="s">
        <v>15</v>
      </c>
      <c r="H654" s="6"/>
      <c r="I654" s="65" t="s">
        <v>83</v>
      </c>
    </row>
    <row r="655" spans="1:10" ht="15.75" x14ac:dyDescent="0.25">
      <c r="A655" s="6" t="s">
        <v>33</v>
      </c>
      <c r="B655" s="5">
        <v>45652</v>
      </c>
      <c r="C655" s="6" t="s">
        <v>926</v>
      </c>
      <c r="D655" s="6" t="s">
        <v>22</v>
      </c>
      <c r="E655" s="6" t="s">
        <v>10</v>
      </c>
      <c r="F655" s="45">
        <v>2178</v>
      </c>
      <c r="G655" s="6" t="s">
        <v>34</v>
      </c>
      <c r="H655" s="6"/>
      <c r="I655" s="65" t="s">
        <v>83</v>
      </c>
    </row>
    <row r="656" spans="1:10" ht="15.75" x14ac:dyDescent="0.25">
      <c r="A656" s="6" t="s">
        <v>33</v>
      </c>
      <c r="B656" s="5">
        <v>45652</v>
      </c>
      <c r="C656" s="6" t="s">
        <v>927</v>
      </c>
      <c r="D656" s="6" t="s">
        <v>28</v>
      </c>
      <c r="E656" s="6" t="s">
        <v>10</v>
      </c>
      <c r="F656" s="45">
        <v>5280.0000000000009</v>
      </c>
      <c r="G656" s="6" t="s">
        <v>13</v>
      </c>
      <c r="H656" s="6"/>
      <c r="I656" s="65" t="s">
        <v>83</v>
      </c>
    </row>
    <row r="657" spans="1:9" ht="15.75" x14ac:dyDescent="0.25">
      <c r="A657" s="6" t="s">
        <v>33</v>
      </c>
      <c r="B657" s="5">
        <v>45652</v>
      </c>
      <c r="C657" s="6" t="s">
        <v>928</v>
      </c>
      <c r="D657" s="6" t="s">
        <v>14</v>
      </c>
      <c r="E657" s="6" t="s">
        <v>10</v>
      </c>
      <c r="F657" s="45">
        <v>262.06896551724139</v>
      </c>
      <c r="G657" s="6" t="s">
        <v>8</v>
      </c>
      <c r="H657" s="6"/>
      <c r="I657" s="65" t="s">
        <v>83</v>
      </c>
    </row>
    <row r="658" spans="1:9" ht="15.75" x14ac:dyDescent="0.25">
      <c r="A658" s="6" t="s">
        <v>33</v>
      </c>
      <c r="B658" s="5">
        <v>45653</v>
      </c>
      <c r="C658" s="6" t="s">
        <v>929</v>
      </c>
      <c r="D658" s="6" t="s">
        <v>22</v>
      </c>
      <c r="E658" s="6" t="s">
        <v>10</v>
      </c>
      <c r="F658" s="45">
        <v>954.00000000000011</v>
      </c>
      <c r="G658" s="6" t="s">
        <v>34</v>
      </c>
      <c r="H658" s="6"/>
      <c r="I658" s="65" t="s">
        <v>83</v>
      </c>
    </row>
    <row r="659" spans="1:9" ht="15.75" x14ac:dyDescent="0.25">
      <c r="A659" s="6" t="s">
        <v>33</v>
      </c>
      <c r="B659" s="5">
        <v>45653</v>
      </c>
      <c r="C659" s="6" t="s">
        <v>930</v>
      </c>
      <c r="D659" s="6" t="s">
        <v>22</v>
      </c>
      <c r="E659" s="6" t="s">
        <v>10</v>
      </c>
      <c r="F659" s="45">
        <v>954.00000000000011</v>
      </c>
      <c r="G659" s="6" t="s">
        <v>34</v>
      </c>
      <c r="H659" s="6"/>
      <c r="I659" s="65" t="s">
        <v>83</v>
      </c>
    </row>
    <row r="660" spans="1:9" ht="15.75" x14ac:dyDescent="0.25">
      <c r="A660" s="6" t="s">
        <v>33</v>
      </c>
      <c r="B660" s="5">
        <v>45653</v>
      </c>
      <c r="C660" s="6" t="s">
        <v>931</v>
      </c>
      <c r="D660" s="6" t="s">
        <v>857</v>
      </c>
      <c r="E660" s="6" t="s">
        <v>16</v>
      </c>
      <c r="F660" s="45">
        <v>2119.3620689655172</v>
      </c>
      <c r="G660" s="6" t="s">
        <v>15</v>
      </c>
      <c r="H660" s="6"/>
      <c r="I660" s="65" t="s">
        <v>83</v>
      </c>
    </row>
    <row r="661" spans="1:9" ht="15.75" x14ac:dyDescent="0.25">
      <c r="A661" s="6" t="s">
        <v>33</v>
      </c>
      <c r="B661" s="5">
        <v>45653</v>
      </c>
      <c r="C661" s="6" t="s">
        <v>932</v>
      </c>
      <c r="D661" s="6" t="s">
        <v>933</v>
      </c>
      <c r="E661" s="6" t="s">
        <v>10</v>
      </c>
      <c r="F661" s="45">
        <v>1465.5172413793105</v>
      </c>
      <c r="G661" s="6" t="s">
        <v>8</v>
      </c>
      <c r="H661" s="6"/>
      <c r="I661" s="65" t="s">
        <v>83</v>
      </c>
    </row>
    <row r="662" spans="1:9" ht="15.75" x14ac:dyDescent="0.25">
      <c r="A662" s="6" t="s">
        <v>33</v>
      </c>
      <c r="B662" s="5">
        <v>45653</v>
      </c>
      <c r="C662" s="6" t="s">
        <v>934</v>
      </c>
      <c r="D662" s="6" t="s">
        <v>935</v>
      </c>
      <c r="E662" s="6" t="s">
        <v>16</v>
      </c>
      <c r="F662" s="45">
        <v>2448</v>
      </c>
      <c r="G662" s="6" t="s">
        <v>15</v>
      </c>
      <c r="H662" s="6"/>
      <c r="I662" s="65" t="s">
        <v>83</v>
      </c>
    </row>
    <row r="663" spans="1:9" ht="15.75" x14ac:dyDescent="0.25">
      <c r="A663" s="6" t="s">
        <v>33</v>
      </c>
      <c r="B663" s="5">
        <v>45653</v>
      </c>
      <c r="C663" s="6" t="s">
        <v>936</v>
      </c>
      <c r="D663" s="6" t="s">
        <v>14</v>
      </c>
      <c r="E663" s="6" t="s">
        <v>16</v>
      </c>
      <c r="F663" s="45">
        <v>3425.0000000000005</v>
      </c>
      <c r="G663" s="6" t="s">
        <v>15</v>
      </c>
      <c r="H663" s="6"/>
      <c r="I663" s="65" t="s">
        <v>83</v>
      </c>
    </row>
    <row r="664" spans="1:9" ht="15.75" x14ac:dyDescent="0.25">
      <c r="A664" s="6" t="s">
        <v>33</v>
      </c>
      <c r="B664" s="5">
        <v>45653</v>
      </c>
      <c r="C664" s="6" t="s">
        <v>937</v>
      </c>
      <c r="D664" s="6" t="s">
        <v>14</v>
      </c>
      <c r="E664" s="6" t="s">
        <v>10</v>
      </c>
      <c r="F664" s="45">
        <v>431.0344827586207</v>
      </c>
      <c r="G664" s="6" t="s">
        <v>8</v>
      </c>
      <c r="H664" s="6"/>
      <c r="I664" s="65" t="s">
        <v>83</v>
      </c>
    </row>
    <row r="665" spans="1:9" ht="15.75" x14ac:dyDescent="0.25">
      <c r="A665" s="6" t="s">
        <v>33</v>
      </c>
      <c r="B665" s="5">
        <v>45654</v>
      </c>
      <c r="C665" s="6" t="s">
        <v>938</v>
      </c>
      <c r="D665" s="6" t="s">
        <v>14</v>
      </c>
      <c r="E665" s="6" t="s">
        <v>10</v>
      </c>
      <c r="F665" s="45">
        <v>129.31034482758622</v>
      </c>
      <c r="G665" s="6" t="s">
        <v>8</v>
      </c>
      <c r="H665" s="6"/>
      <c r="I665" s="65" t="s">
        <v>83</v>
      </c>
    </row>
    <row r="666" spans="1:9" ht="15.75" x14ac:dyDescent="0.25">
      <c r="A666" s="6" t="s">
        <v>33</v>
      </c>
      <c r="B666" s="5">
        <v>45656</v>
      </c>
      <c r="C666" s="6" t="s">
        <v>939</v>
      </c>
      <c r="D666" s="6" t="s">
        <v>17</v>
      </c>
      <c r="E666" s="6" t="s">
        <v>10</v>
      </c>
      <c r="F666" s="45">
        <v>301.72413793103448</v>
      </c>
      <c r="G666" s="6" t="s">
        <v>8</v>
      </c>
      <c r="H666" s="6"/>
      <c r="I666" s="65" t="s">
        <v>83</v>
      </c>
    </row>
    <row r="667" spans="1:9" ht="15.75" x14ac:dyDescent="0.25">
      <c r="A667" s="6" t="s">
        <v>33</v>
      </c>
      <c r="B667" s="5">
        <v>45656</v>
      </c>
      <c r="C667" s="6" t="s">
        <v>940</v>
      </c>
      <c r="D667" s="6" t="s">
        <v>31</v>
      </c>
      <c r="E667" s="6" t="s">
        <v>18</v>
      </c>
      <c r="F667" s="45">
        <v>2896.5517241379312</v>
      </c>
      <c r="G667" s="6" t="s">
        <v>15</v>
      </c>
      <c r="H667" s="6"/>
      <c r="I667" s="65" t="s">
        <v>83</v>
      </c>
    </row>
    <row r="668" spans="1:9" x14ac:dyDescent="0.25">
      <c r="A668" s="6" t="s">
        <v>33</v>
      </c>
      <c r="B668" s="15">
        <v>45659</v>
      </c>
      <c r="C668" s="16" t="s">
        <v>945</v>
      </c>
      <c r="D668" s="16" t="s">
        <v>12</v>
      </c>
      <c r="E668" s="16" t="s">
        <v>10</v>
      </c>
      <c r="F668" s="45">
        <v>10452</v>
      </c>
      <c r="G668" s="16" t="s">
        <v>13</v>
      </c>
      <c r="H668" s="16"/>
      <c r="I668" s="16" t="s">
        <v>83</v>
      </c>
    </row>
    <row r="669" spans="1:9" x14ac:dyDescent="0.25">
      <c r="A669" s="6" t="s">
        <v>33</v>
      </c>
      <c r="B669" s="15">
        <v>45659</v>
      </c>
      <c r="C669" s="16" t="s">
        <v>946</v>
      </c>
      <c r="D669" s="16" t="s">
        <v>14</v>
      </c>
      <c r="E669" s="16" t="s">
        <v>16</v>
      </c>
      <c r="F669" s="45">
        <v>1686</v>
      </c>
      <c r="G669" s="16" t="s">
        <v>15</v>
      </c>
      <c r="H669" s="16"/>
      <c r="I669" s="16" t="s">
        <v>83</v>
      </c>
    </row>
    <row r="670" spans="1:9" x14ac:dyDescent="0.25">
      <c r="A670" s="6" t="s">
        <v>33</v>
      </c>
      <c r="B670" s="15">
        <v>45660</v>
      </c>
      <c r="C670" s="16" t="s">
        <v>947</v>
      </c>
      <c r="D670" s="16" t="s">
        <v>17</v>
      </c>
      <c r="E670" s="16" t="s">
        <v>18</v>
      </c>
      <c r="F670" s="45">
        <v>301.72413793103448</v>
      </c>
      <c r="G670" s="16" t="s">
        <v>948</v>
      </c>
      <c r="H670" s="16"/>
      <c r="I670" s="16" t="s">
        <v>83</v>
      </c>
    </row>
    <row r="671" spans="1:9" x14ac:dyDescent="0.25">
      <c r="A671" s="6" t="s">
        <v>33</v>
      </c>
      <c r="B671" s="15">
        <v>45660</v>
      </c>
      <c r="C671" s="16" t="s">
        <v>949</v>
      </c>
      <c r="D671" s="16" t="s">
        <v>19</v>
      </c>
      <c r="E671" s="16" t="s">
        <v>10</v>
      </c>
      <c r="F671" s="45">
        <v>6545</v>
      </c>
      <c r="G671" s="16" t="s">
        <v>13</v>
      </c>
      <c r="H671" s="16"/>
      <c r="I671" s="16" t="s">
        <v>83</v>
      </c>
    </row>
    <row r="672" spans="1:9" x14ac:dyDescent="0.25">
      <c r="A672" s="6" t="s">
        <v>33</v>
      </c>
      <c r="B672" s="15">
        <v>45660</v>
      </c>
      <c r="C672" s="16" t="s">
        <v>950</v>
      </c>
      <c r="D672" s="16" t="s">
        <v>19</v>
      </c>
      <c r="E672" s="16" t="s">
        <v>10</v>
      </c>
      <c r="F672" s="45">
        <v>6305.0000000000009</v>
      </c>
      <c r="G672" s="16" t="s">
        <v>13</v>
      </c>
      <c r="H672" s="16"/>
      <c r="I672" s="16" t="s">
        <v>83</v>
      </c>
    </row>
    <row r="673" spans="1:9" x14ac:dyDescent="0.25">
      <c r="A673" s="6" t="s">
        <v>33</v>
      </c>
      <c r="B673" s="15">
        <v>45660</v>
      </c>
      <c r="C673" s="16" t="s">
        <v>951</v>
      </c>
      <c r="D673" s="16" t="s">
        <v>952</v>
      </c>
      <c r="E673" s="16" t="s">
        <v>20</v>
      </c>
      <c r="F673" s="45">
        <v>3103.4482758620693</v>
      </c>
      <c r="G673" s="16" t="s">
        <v>948</v>
      </c>
      <c r="H673" s="16" t="s">
        <v>953</v>
      </c>
      <c r="I673" s="16" t="s">
        <v>83</v>
      </c>
    </row>
    <row r="674" spans="1:9" x14ac:dyDescent="0.25">
      <c r="A674" s="6" t="s">
        <v>33</v>
      </c>
      <c r="B674" s="15">
        <v>45664</v>
      </c>
      <c r="C674" s="16" t="s">
        <v>954</v>
      </c>
      <c r="D674" s="16" t="s">
        <v>21</v>
      </c>
      <c r="E674" s="16" t="s">
        <v>18</v>
      </c>
      <c r="F674" s="45">
        <v>835.34482758620697</v>
      </c>
      <c r="G674" s="16" t="s">
        <v>948</v>
      </c>
      <c r="H674" s="16"/>
      <c r="I674" s="16" t="s">
        <v>83</v>
      </c>
    </row>
    <row r="675" spans="1:9" x14ac:dyDescent="0.25">
      <c r="A675" s="6" t="s">
        <v>33</v>
      </c>
      <c r="B675" s="15">
        <v>45664</v>
      </c>
      <c r="C675" s="16" t="s">
        <v>955</v>
      </c>
      <c r="D675" s="16" t="s">
        <v>22</v>
      </c>
      <c r="E675" s="16" t="s">
        <v>10</v>
      </c>
      <c r="F675" s="45">
        <v>6727.5</v>
      </c>
      <c r="G675" s="16" t="s">
        <v>956</v>
      </c>
      <c r="H675" s="16"/>
      <c r="I675" s="16" t="s">
        <v>83</v>
      </c>
    </row>
    <row r="676" spans="1:9" x14ac:dyDescent="0.25">
      <c r="A676" s="6" t="s">
        <v>33</v>
      </c>
      <c r="B676" s="15">
        <v>45664</v>
      </c>
      <c r="C676" s="16" t="s">
        <v>957</v>
      </c>
      <c r="D676" s="16" t="s">
        <v>958</v>
      </c>
      <c r="E676" s="16" t="s">
        <v>23</v>
      </c>
      <c r="F676" s="45">
        <v>16546</v>
      </c>
      <c r="G676" s="16" t="s">
        <v>13</v>
      </c>
      <c r="H676" s="16" t="s">
        <v>959</v>
      </c>
      <c r="I676" s="16" t="s">
        <v>83</v>
      </c>
    </row>
    <row r="677" spans="1:9" x14ac:dyDescent="0.25">
      <c r="A677" s="6" t="s">
        <v>33</v>
      </c>
      <c r="B677" s="15">
        <v>45664</v>
      </c>
      <c r="C677" s="16" t="s">
        <v>960</v>
      </c>
      <c r="D677" s="16" t="s">
        <v>24</v>
      </c>
      <c r="E677" s="16" t="s">
        <v>16</v>
      </c>
      <c r="F677" s="45">
        <v>2570</v>
      </c>
      <c r="G677" s="16" t="s">
        <v>15</v>
      </c>
      <c r="H677" s="16"/>
      <c r="I677" s="16" t="s">
        <v>83</v>
      </c>
    </row>
    <row r="678" spans="1:9" x14ac:dyDescent="0.25">
      <c r="A678" s="6" t="s">
        <v>33</v>
      </c>
      <c r="B678" s="15">
        <v>45665</v>
      </c>
      <c r="C678" s="16" t="s">
        <v>961</v>
      </c>
      <c r="D678" s="16" t="s">
        <v>14</v>
      </c>
      <c r="E678" s="16" t="s">
        <v>10</v>
      </c>
      <c r="F678" s="45">
        <v>419.82758620689657</v>
      </c>
      <c r="G678" s="16" t="s">
        <v>948</v>
      </c>
      <c r="H678" s="16"/>
      <c r="I678" s="16" t="s">
        <v>83</v>
      </c>
    </row>
    <row r="679" spans="1:9" x14ac:dyDescent="0.25">
      <c r="A679" s="6" t="s">
        <v>33</v>
      </c>
      <c r="B679" s="15">
        <v>45665</v>
      </c>
      <c r="C679" s="16" t="s">
        <v>962</v>
      </c>
      <c r="D679" s="16" t="s">
        <v>25</v>
      </c>
      <c r="E679" s="16" t="s">
        <v>16</v>
      </c>
      <c r="F679" s="45">
        <v>840</v>
      </c>
      <c r="G679" s="16" t="s">
        <v>15</v>
      </c>
      <c r="H679" s="16"/>
      <c r="I679" s="16" t="s">
        <v>83</v>
      </c>
    </row>
    <row r="680" spans="1:9" x14ac:dyDescent="0.25">
      <c r="A680" s="6" t="s">
        <v>33</v>
      </c>
      <c r="B680" s="15">
        <v>45665</v>
      </c>
      <c r="C680" s="16" t="s">
        <v>963</v>
      </c>
      <c r="D680" s="16" t="s">
        <v>14</v>
      </c>
      <c r="E680" s="16" t="s">
        <v>10</v>
      </c>
      <c r="F680" s="45">
        <v>1086.2068965517242</v>
      </c>
      <c r="G680" s="16" t="s">
        <v>948</v>
      </c>
      <c r="H680" s="16"/>
      <c r="I680" s="16" t="s">
        <v>83</v>
      </c>
    </row>
    <row r="681" spans="1:9" x14ac:dyDescent="0.25">
      <c r="A681" s="6" t="s">
        <v>33</v>
      </c>
      <c r="B681" s="15">
        <v>45665</v>
      </c>
      <c r="C681" s="16" t="s">
        <v>964</v>
      </c>
      <c r="D681" s="17" t="s">
        <v>965</v>
      </c>
      <c r="E681" s="16" t="s">
        <v>10</v>
      </c>
      <c r="F681" s="45">
        <v>1465.5172413793105</v>
      </c>
      <c r="G681" s="17" t="s">
        <v>13</v>
      </c>
      <c r="H681" s="16"/>
      <c r="I681" s="16" t="s">
        <v>83</v>
      </c>
    </row>
    <row r="682" spans="1:9" x14ac:dyDescent="0.25">
      <c r="A682" s="6" t="s">
        <v>33</v>
      </c>
      <c r="B682" s="15">
        <v>45665</v>
      </c>
      <c r="C682" s="16" t="s">
        <v>966</v>
      </c>
      <c r="D682" s="16" t="s">
        <v>967</v>
      </c>
      <c r="E682" s="16" t="s">
        <v>23</v>
      </c>
      <c r="F682" s="45">
        <v>64000.000000000007</v>
      </c>
      <c r="G682" s="16" t="s">
        <v>968</v>
      </c>
      <c r="H682" s="16" t="s">
        <v>969</v>
      </c>
      <c r="I682" s="16" t="s">
        <v>83</v>
      </c>
    </row>
    <row r="683" spans="1:9" x14ac:dyDescent="0.25">
      <c r="A683" s="6" t="s">
        <v>33</v>
      </c>
      <c r="B683" s="15">
        <v>45666</v>
      </c>
      <c r="C683" s="16" t="s">
        <v>970</v>
      </c>
      <c r="D683" s="16" t="s">
        <v>26</v>
      </c>
      <c r="E683" s="16" t="s">
        <v>27</v>
      </c>
      <c r="F683" s="45">
        <v>2000.0000000000002</v>
      </c>
      <c r="G683" s="16" t="s">
        <v>13</v>
      </c>
      <c r="H683" s="16"/>
      <c r="I683" s="16" t="s">
        <v>83</v>
      </c>
    </row>
    <row r="684" spans="1:9" x14ac:dyDescent="0.25">
      <c r="A684" s="6" t="s">
        <v>33</v>
      </c>
      <c r="B684" s="15">
        <v>45666</v>
      </c>
      <c r="C684" s="16" t="s">
        <v>971</v>
      </c>
      <c r="D684" s="16" t="s">
        <v>14</v>
      </c>
      <c r="E684" s="16" t="s">
        <v>16</v>
      </c>
      <c r="F684" s="45">
        <v>2696.0000000000005</v>
      </c>
      <c r="G684" s="16" t="s">
        <v>15</v>
      </c>
      <c r="H684" s="16"/>
      <c r="I684" s="16" t="s">
        <v>83</v>
      </c>
    </row>
    <row r="685" spans="1:9" x14ac:dyDescent="0.25">
      <c r="A685" s="6" t="s">
        <v>33</v>
      </c>
      <c r="B685" s="15">
        <v>45668</v>
      </c>
      <c r="C685" s="16" t="s">
        <v>972</v>
      </c>
      <c r="D685" s="16" t="s">
        <v>14</v>
      </c>
      <c r="E685" s="16" t="s">
        <v>10</v>
      </c>
      <c r="F685" s="45">
        <v>224.13793103448276</v>
      </c>
      <c r="G685" s="16" t="s">
        <v>948</v>
      </c>
      <c r="H685" s="16"/>
      <c r="I685" s="16" t="s">
        <v>83</v>
      </c>
    </row>
    <row r="686" spans="1:9" x14ac:dyDescent="0.25">
      <c r="A686" s="6" t="s">
        <v>33</v>
      </c>
      <c r="B686" s="15">
        <v>45670</v>
      </c>
      <c r="C686" s="16" t="s">
        <v>973</v>
      </c>
      <c r="D686" s="16" t="s">
        <v>14</v>
      </c>
      <c r="E686" s="16" t="s">
        <v>11</v>
      </c>
      <c r="F686" s="45">
        <v>258.62068965517244</v>
      </c>
      <c r="G686" s="16" t="s">
        <v>15</v>
      </c>
      <c r="H686" s="16"/>
      <c r="I686" s="16" t="s">
        <v>83</v>
      </c>
    </row>
    <row r="687" spans="1:9" x14ac:dyDescent="0.25">
      <c r="A687" s="6" t="s">
        <v>33</v>
      </c>
      <c r="B687" s="15">
        <v>45670</v>
      </c>
      <c r="C687" s="16" t="s">
        <v>974</v>
      </c>
      <c r="D687" s="16" t="s">
        <v>14</v>
      </c>
      <c r="E687" s="16" t="s">
        <v>10</v>
      </c>
      <c r="F687" s="45">
        <v>223.27586206896552</v>
      </c>
      <c r="G687" s="16" t="s">
        <v>948</v>
      </c>
      <c r="H687" s="16"/>
      <c r="I687" s="16" t="s">
        <v>83</v>
      </c>
    </row>
    <row r="688" spans="1:9" x14ac:dyDescent="0.25">
      <c r="A688" s="6" t="s">
        <v>33</v>
      </c>
      <c r="B688" s="15">
        <v>45671</v>
      </c>
      <c r="C688" s="16" t="s">
        <v>975</v>
      </c>
      <c r="D688" s="16" t="s">
        <v>28</v>
      </c>
      <c r="E688" s="16" t="s">
        <v>23</v>
      </c>
      <c r="F688" s="45">
        <v>21428</v>
      </c>
      <c r="G688" s="16" t="s">
        <v>13</v>
      </c>
      <c r="H688" s="16" t="s">
        <v>976</v>
      </c>
      <c r="I688" s="16" t="s">
        <v>83</v>
      </c>
    </row>
    <row r="689" spans="1:9" x14ac:dyDescent="0.25">
      <c r="A689" s="6" t="s">
        <v>33</v>
      </c>
      <c r="B689" s="15">
        <v>45672</v>
      </c>
      <c r="C689" s="16" t="s">
        <v>977</v>
      </c>
      <c r="D689" s="16" t="s">
        <v>14</v>
      </c>
      <c r="E689" s="16" t="s">
        <v>9</v>
      </c>
      <c r="F689" s="45">
        <v>172.41379310344828</v>
      </c>
      <c r="G689" s="16" t="s">
        <v>948</v>
      </c>
      <c r="H689" s="16"/>
      <c r="I689" s="16" t="s">
        <v>83</v>
      </c>
    </row>
    <row r="690" spans="1:9" x14ac:dyDescent="0.25">
      <c r="A690" s="6" t="s">
        <v>33</v>
      </c>
      <c r="B690" s="15">
        <v>45673</v>
      </c>
      <c r="C690" s="16" t="s">
        <v>978</v>
      </c>
      <c r="D690" s="16" t="s">
        <v>14</v>
      </c>
      <c r="E690" s="16" t="s">
        <v>16</v>
      </c>
      <c r="F690" s="45">
        <v>1839.6206896551726</v>
      </c>
      <c r="G690" s="16" t="s">
        <v>15</v>
      </c>
      <c r="H690" s="16"/>
      <c r="I690" s="16" t="s">
        <v>83</v>
      </c>
    </row>
    <row r="691" spans="1:9" x14ac:dyDescent="0.25">
      <c r="A691" s="6" t="s">
        <v>33</v>
      </c>
      <c r="B691" s="15">
        <v>45673</v>
      </c>
      <c r="C691" s="16" t="s">
        <v>979</v>
      </c>
      <c r="D691" s="16" t="s">
        <v>14</v>
      </c>
      <c r="E691" s="16" t="s">
        <v>18</v>
      </c>
      <c r="F691" s="45">
        <v>431.0344827586207</v>
      </c>
      <c r="G691" s="16" t="s">
        <v>948</v>
      </c>
      <c r="H691" s="16"/>
      <c r="I691" s="16" t="s">
        <v>83</v>
      </c>
    </row>
    <row r="692" spans="1:9" x14ac:dyDescent="0.25">
      <c r="A692" s="6" t="s">
        <v>33</v>
      </c>
      <c r="B692" s="15">
        <v>45675</v>
      </c>
      <c r="C692" s="16" t="s">
        <v>980</v>
      </c>
      <c r="D692" s="16" t="s">
        <v>14</v>
      </c>
      <c r="E692" s="16" t="s">
        <v>16</v>
      </c>
      <c r="F692" s="45">
        <v>1429.0000000000002</v>
      </c>
      <c r="G692" s="16" t="s">
        <v>15</v>
      </c>
      <c r="H692" s="16"/>
      <c r="I692" s="16" t="s">
        <v>83</v>
      </c>
    </row>
    <row r="693" spans="1:9" x14ac:dyDescent="0.25">
      <c r="A693" s="6" t="s">
        <v>33</v>
      </c>
      <c r="B693" s="15">
        <v>45675</v>
      </c>
      <c r="C693" s="16" t="s">
        <v>981</v>
      </c>
      <c r="D693" s="16" t="s">
        <v>14</v>
      </c>
      <c r="E693" s="16" t="s">
        <v>11</v>
      </c>
      <c r="F693" s="45">
        <v>258.62068965517244</v>
      </c>
      <c r="G693" s="16" t="s">
        <v>15</v>
      </c>
      <c r="H693" s="16"/>
      <c r="I693" s="16" t="s">
        <v>83</v>
      </c>
    </row>
    <row r="694" spans="1:9" x14ac:dyDescent="0.25">
      <c r="A694" s="6" t="s">
        <v>33</v>
      </c>
      <c r="B694" s="15">
        <v>45677</v>
      </c>
      <c r="C694" s="16" t="s">
        <v>982</v>
      </c>
      <c r="D694" s="16" t="s">
        <v>22</v>
      </c>
      <c r="E694" s="16" t="s">
        <v>23</v>
      </c>
      <c r="F694" s="45">
        <v>14784</v>
      </c>
      <c r="G694" s="16" t="s">
        <v>956</v>
      </c>
      <c r="H694" s="16" t="s">
        <v>983</v>
      </c>
      <c r="I694" s="16" t="s">
        <v>83</v>
      </c>
    </row>
    <row r="695" spans="1:9" x14ac:dyDescent="0.25">
      <c r="A695" s="6" t="s">
        <v>33</v>
      </c>
      <c r="B695" s="15">
        <v>45677</v>
      </c>
      <c r="C695" s="16" t="s">
        <v>984</v>
      </c>
      <c r="D695" s="16" t="s">
        <v>14</v>
      </c>
      <c r="E695" s="16" t="s">
        <v>16</v>
      </c>
      <c r="F695" s="45">
        <v>1164</v>
      </c>
      <c r="G695" s="16" t="s">
        <v>15</v>
      </c>
      <c r="H695" s="16"/>
      <c r="I695" s="16" t="s">
        <v>83</v>
      </c>
    </row>
    <row r="696" spans="1:9" x14ac:dyDescent="0.25">
      <c r="A696" s="6" t="s">
        <v>33</v>
      </c>
      <c r="B696" s="15">
        <v>45679</v>
      </c>
      <c r="C696" s="16" t="s">
        <v>985</v>
      </c>
      <c r="D696" s="16" t="s">
        <v>22</v>
      </c>
      <c r="E696" s="16"/>
      <c r="F696" s="46">
        <v>0</v>
      </c>
      <c r="G696" s="16"/>
      <c r="H696" s="16"/>
      <c r="I696" s="16" t="s">
        <v>83</v>
      </c>
    </row>
    <row r="697" spans="1:9" x14ac:dyDescent="0.25">
      <c r="A697" s="6" t="s">
        <v>33</v>
      </c>
      <c r="B697" s="15">
        <v>45679</v>
      </c>
      <c r="C697" s="16" t="s">
        <v>986</v>
      </c>
      <c r="D697" s="16" t="s">
        <v>14</v>
      </c>
      <c r="E697" s="16" t="s">
        <v>16</v>
      </c>
      <c r="F697" s="45">
        <v>2678</v>
      </c>
      <c r="G697" s="16" t="s">
        <v>15</v>
      </c>
      <c r="H697" s="16"/>
      <c r="I697" s="16" t="s">
        <v>83</v>
      </c>
    </row>
    <row r="698" spans="1:9" x14ac:dyDescent="0.25">
      <c r="A698" s="6" t="s">
        <v>33</v>
      </c>
      <c r="B698" s="15">
        <v>45680</v>
      </c>
      <c r="C698" s="16" t="s">
        <v>987</v>
      </c>
      <c r="D698" s="16" t="s">
        <v>29</v>
      </c>
      <c r="E698" s="16" t="s">
        <v>23</v>
      </c>
      <c r="F698" s="45">
        <v>3920</v>
      </c>
      <c r="G698" s="16" t="s">
        <v>13</v>
      </c>
      <c r="H698" s="16" t="s">
        <v>988</v>
      </c>
      <c r="I698" s="16" t="s">
        <v>83</v>
      </c>
    </row>
    <row r="699" spans="1:9" x14ac:dyDescent="0.25">
      <c r="A699" s="6" t="s">
        <v>33</v>
      </c>
      <c r="B699" s="15">
        <v>45680</v>
      </c>
      <c r="C699" s="16" t="s">
        <v>989</v>
      </c>
      <c r="D699" s="16" t="s">
        <v>14</v>
      </c>
      <c r="E699" s="16" t="s">
        <v>10</v>
      </c>
      <c r="F699" s="45">
        <v>258.62068965517244</v>
      </c>
      <c r="G699" s="16" t="s">
        <v>948</v>
      </c>
      <c r="H699" s="16"/>
      <c r="I699" s="16" t="s">
        <v>83</v>
      </c>
    </row>
    <row r="700" spans="1:9" x14ac:dyDescent="0.25">
      <c r="A700" s="6" t="s">
        <v>33</v>
      </c>
      <c r="B700" s="15">
        <v>45680</v>
      </c>
      <c r="C700" s="16" t="s">
        <v>990</v>
      </c>
      <c r="D700" s="16" t="s">
        <v>22</v>
      </c>
      <c r="E700" s="16" t="s">
        <v>9</v>
      </c>
      <c r="F700" s="45">
        <v>2435.8362068965521</v>
      </c>
      <c r="G700" s="16" t="s">
        <v>956</v>
      </c>
      <c r="H700" s="16"/>
      <c r="I700" s="16" t="s">
        <v>83</v>
      </c>
    </row>
    <row r="701" spans="1:9" x14ac:dyDescent="0.25">
      <c r="A701" s="6" t="s">
        <v>33</v>
      </c>
      <c r="B701" s="15">
        <v>45684</v>
      </c>
      <c r="C701" s="16" t="s">
        <v>991</v>
      </c>
      <c r="D701" s="16" t="s">
        <v>22</v>
      </c>
      <c r="E701" s="16"/>
      <c r="F701" s="45">
        <v>0</v>
      </c>
      <c r="G701" s="16"/>
      <c r="H701" s="16"/>
      <c r="I701" s="16" t="s">
        <v>83</v>
      </c>
    </row>
    <row r="702" spans="1:9" x14ac:dyDescent="0.25">
      <c r="A702" s="6" t="s">
        <v>33</v>
      </c>
      <c r="B702" s="15">
        <v>45684</v>
      </c>
      <c r="C702" s="16" t="s">
        <v>992</v>
      </c>
      <c r="D702" s="17" t="s">
        <v>14</v>
      </c>
      <c r="E702" s="16" t="s">
        <v>11</v>
      </c>
      <c r="F702" s="45">
        <v>258.62068965517244</v>
      </c>
      <c r="G702" s="17" t="s">
        <v>15</v>
      </c>
      <c r="H702" s="16"/>
      <c r="I702" s="16" t="s">
        <v>83</v>
      </c>
    </row>
    <row r="703" spans="1:9" x14ac:dyDescent="0.25">
      <c r="A703" s="6" t="s">
        <v>33</v>
      </c>
      <c r="B703" s="15">
        <v>45684</v>
      </c>
      <c r="C703" s="16" t="s">
        <v>993</v>
      </c>
      <c r="D703" s="16" t="s">
        <v>30</v>
      </c>
      <c r="E703" s="16"/>
      <c r="F703" s="45">
        <v>0</v>
      </c>
      <c r="G703" s="16"/>
      <c r="H703" s="16"/>
      <c r="I703" s="16" t="s">
        <v>83</v>
      </c>
    </row>
    <row r="704" spans="1:9" x14ac:dyDescent="0.25">
      <c r="A704" s="6" t="s">
        <v>33</v>
      </c>
      <c r="B704" s="15">
        <v>45684</v>
      </c>
      <c r="C704" s="16" t="s">
        <v>994</v>
      </c>
      <c r="D704" s="16" t="s">
        <v>30</v>
      </c>
      <c r="E704" s="16"/>
      <c r="F704" s="45">
        <v>0</v>
      </c>
      <c r="G704" s="16"/>
      <c r="H704" s="16"/>
      <c r="I704" s="16" t="s">
        <v>83</v>
      </c>
    </row>
    <row r="705" spans="1:9" x14ac:dyDescent="0.25">
      <c r="A705" s="6" t="s">
        <v>33</v>
      </c>
      <c r="B705" s="15">
        <v>45685</v>
      </c>
      <c r="C705" s="16" t="s">
        <v>995</v>
      </c>
      <c r="D705" s="16" t="s">
        <v>965</v>
      </c>
      <c r="E705" s="16" t="s">
        <v>20</v>
      </c>
      <c r="F705" s="45">
        <v>3189.6465517241381</v>
      </c>
      <c r="G705" s="16" t="s">
        <v>13</v>
      </c>
      <c r="H705" s="16" t="s">
        <v>953</v>
      </c>
      <c r="I705" s="16" t="s">
        <v>83</v>
      </c>
    </row>
    <row r="706" spans="1:9" x14ac:dyDescent="0.25">
      <c r="A706" s="6" t="s">
        <v>33</v>
      </c>
      <c r="B706" s="15">
        <v>45685</v>
      </c>
      <c r="C706" s="16" t="s">
        <v>996</v>
      </c>
      <c r="D706" s="16" t="s">
        <v>14</v>
      </c>
      <c r="E706" s="16" t="s">
        <v>10</v>
      </c>
      <c r="F706" s="45">
        <v>302</v>
      </c>
      <c r="G706" s="16" t="s">
        <v>948</v>
      </c>
      <c r="H706" s="16"/>
      <c r="I706" s="16" t="s">
        <v>83</v>
      </c>
    </row>
    <row r="707" spans="1:9" x14ac:dyDescent="0.25">
      <c r="A707" s="6" t="s">
        <v>33</v>
      </c>
      <c r="B707" s="15">
        <v>45686</v>
      </c>
      <c r="C707" s="16" t="s">
        <v>997</v>
      </c>
      <c r="D707" s="16" t="s">
        <v>22</v>
      </c>
      <c r="E707" s="16" t="s">
        <v>9</v>
      </c>
      <c r="F707" s="45">
        <v>4871.6810344827591</v>
      </c>
      <c r="G707" s="16" t="s">
        <v>956</v>
      </c>
      <c r="H707" s="16"/>
      <c r="I707" s="16" t="s">
        <v>83</v>
      </c>
    </row>
    <row r="708" spans="1:9" x14ac:dyDescent="0.25">
      <c r="A708" s="6" t="s">
        <v>33</v>
      </c>
      <c r="B708" s="15">
        <v>45686</v>
      </c>
      <c r="C708" s="16" t="s">
        <v>998</v>
      </c>
      <c r="D708" s="16" t="s">
        <v>30</v>
      </c>
      <c r="E708" s="16"/>
      <c r="F708" s="45">
        <v>0</v>
      </c>
      <c r="G708" s="16"/>
      <c r="H708" s="16"/>
      <c r="I708" s="16" t="s">
        <v>83</v>
      </c>
    </row>
    <row r="709" spans="1:9" x14ac:dyDescent="0.25">
      <c r="A709" s="6" t="s">
        <v>33</v>
      </c>
      <c r="B709" s="15">
        <v>45686</v>
      </c>
      <c r="C709" s="16" t="s">
        <v>999</v>
      </c>
      <c r="D709" s="16" t="s">
        <v>30</v>
      </c>
      <c r="E709" s="16"/>
      <c r="F709" s="45">
        <v>0</v>
      </c>
      <c r="G709" s="16"/>
      <c r="H709" s="16"/>
      <c r="I709" s="16" t="s">
        <v>83</v>
      </c>
    </row>
    <row r="710" spans="1:9" x14ac:dyDescent="0.25">
      <c r="A710" s="6" t="s">
        <v>33</v>
      </c>
      <c r="B710" s="15">
        <v>45686</v>
      </c>
      <c r="C710" s="16" t="s">
        <v>1000</v>
      </c>
      <c r="D710" s="16" t="s">
        <v>1001</v>
      </c>
      <c r="E710" s="16" t="s">
        <v>16</v>
      </c>
      <c r="F710" s="45">
        <v>4880.0000000000009</v>
      </c>
      <c r="G710" s="16" t="s">
        <v>15</v>
      </c>
      <c r="H710" s="16"/>
      <c r="I710" s="16" t="s">
        <v>83</v>
      </c>
    </row>
    <row r="711" spans="1:9" x14ac:dyDescent="0.25">
      <c r="A711" s="6" t="s">
        <v>33</v>
      </c>
      <c r="B711" s="15">
        <v>45687</v>
      </c>
      <c r="C711" s="16" t="s">
        <v>1002</v>
      </c>
      <c r="D711" s="16" t="s">
        <v>1003</v>
      </c>
      <c r="E711" s="16" t="s">
        <v>16</v>
      </c>
      <c r="F711" s="45">
        <v>4692.0000000000009</v>
      </c>
      <c r="G711" s="16" t="s">
        <v>13</v>
      </c>
      <c r="H711" s="16"/>
      <c r="I711" s="16" t="s">
        <v>83</v>
      </c>
    </row>
    <row r="712" spans="1:9" x14ac:dyDescent="0.25">
      <c r="A712" s="6" t="s">
        <v>33</v>
      </c>
      <c r="B712" s="15">
        <v>45687</v>
      </c>
      <c r="C712" s="16" t="s">
        <v>1004</v>
      </c>
      <c r="D712" s="16" t="s">
        <v>12</v>
      </c>
      <c r="E712" s="16" t="s">
        <v>10</v>
      </c>
      <c r="F712" s="45">
        <v>41808</v>
      </c>
      <c r="G712" s="16" t="s">
        <v>13</v>
      </c>
      <c r="H712" s="16"/>
      <c r="I712" s="16" t="s">
        <v>83</v>
      </c>
    </row>
    <row r="713" spans="1:9" x14ac:dyDescent="0.25">
      <c r="A713" s="6" t="s">
        <v>33</v>
      </c>
      <c r="B713" s="15">
        <v>45687</v>
      </c>
      <c r="C713" s="16" t="s">
        <v>1005</v>
      </c>
      <c r="D713" s="16" t="s">
        <v>14</v>
      </c>
      <c r="E713" s="16" t="s">
        <v>16</v>
      </c>
      <c r="F713" s="45">
        <v>1480</v>
      </c>
      <c r="G713" s="16" t="s">
        <v>15</v>
      </c>
      <c r="H713" s="16"/>
      <c r="I713" s="16" t="s">
        <v>83</v>
      </c>
    </row>
    <row r="714" spans="1:9" x14ac:dyDescent="0.25">
      <c r="A714" s="6" t="s">
        <v>33</v>
      </c>
      <c r="B714" s="15">
        <v>45687</v>
      </c>
      <c r="C714" s="16" t="s">
        <v>1006</v>
      </c>
      <c r="D714" s="16" t="s">
        <v>14</v>
      </c>
      <c r="E714" s="16" t="s">
        <v>16</v>
      </c>
      <c r="F714" s="45">
        <v>1063</v>
      </c>
      <c r="G714" s="16" t="s">
        <v>15</v>
      </c>
      <c r="H714" s="16"/>
      <c r="I714" s="16" t="s">
        <v>83</v>
      </c>
    </row>
    <row r="715" spans="1:9" x14ac:dyDescent="0.25">
      <c r="A715" s="6" t="s">
        <v>33</v>
      </c>
      <c r="B715" s="15">
        <v>45687</v>
      </c>
      <c r="C715" s="16" t="s">
        <v>1007</v>
      </c>
      <c r="D715" s="16" t="s">
        <v>14</v>
      </c>
      <c r="E715" s="16" t="s">
        <v>16</v>
      </c>
      <c r="F715" s="45">
        <v>2384</v>
      </c>
      <c r="G715" s="16" t="s">
        <v>15</v>
      </c>
      <c r="H715" s="16"/>
      <c r="I715" s="16" t="s">
        <v>83</v>
      </c>
    </row>
    <row r="716" spans="1:9" x14ac:dyDescent="0.25">
      <c r="A716" s="6" t="s">
        <v>33</v>
      </c>
      <c r="B716" s="15">
        <v>45688</v>
      </c>
      <c r="C716" s="16" t="s">
        <v>1008</v>
      </c>
      <c r="D716" s="16" t="s">
        <v>14</v>
      </c>
      <c r="E716" s="16" t="s">
        <v>10</v>
      </c>
      <c r="F716" s="45">
        <v>818.96551724137942</v>
      </c>
      <c r="G716" s="16" t="s">
        <v>948</v>
      </c>
      <c r="H716" s="16"/>
      <c r="I716" s="16" t="s">
        <v>83</v>
      </c>
    </row>
    <row r="717" spans="1:9" x14ac:dyDescent="0.25">
      <c r="A717" s="6" t="s">
        <v>33</v>
      </c>
      <c r="B717" s="15">
        <v>45688</v>
      </c>
      <c r="C717" s="16" t="s">
        <v>1009</v>
      </c>
      <c r="D717" s="18" t="s">
        <v>31</v>
      </c>
      <c r="E717" s="16" t="s">
        <v>16</v>
      </c>
      <c r="F717" s="45">
        <v>2586.2068965517242</v>
      </c>
      <c r="G717" s="16" t="s">
        <v>15</v>
      </c>
      <c r="H717" s="16"/>
      <c r="I717" s="16" t="s">
        <v>83</v>
      </c>
    </row>
    <row r="718" spans="1:9" x14ac:dyDescent="0.25">
      <c r="A718" s="6" t="s">
        <v>33</v>
      </c>
      <c r="B718" s="15">
        <v>45688</v>
      </c>
      <c r="C718" s="16" t="s">
        <v>1010</v>
      </c>
      <c r="D718" s="18" t="s">
        <v>32</v>
      </c>
      <c r="E718" s="16" t="s">
        <v>10</v>
      </c>
      <c r="F718" s="45">
        <v>4205</v>
      </c>
      <c r="G718" s="16" t="s">
        <v>13</v>
      </c>
      <c r="H718" s="16"/>
      <c r="I718" s="16" t="s">
        <v>83</v>
      </c>
    </row>
    <row r="719" spans="1:9" x14ac:dyDescent="0.25">
      <c r="A719" s="6" t="s">
        <v>33</v>
      </c>
      <c r="B719" s="15">
        <v>45688</v>
      </c>
      <c r="C719" s="16" t="s">
        <v>1011</v>
      </c>
      <c r="D719" s="18" t="s">
        <v>14</v>
      </c>
      <c r="E719" s="16" t="s">
        <v>16</v>
      </c>
      <c r="F719" s="45">
        <v>897</v>
      </c>
      <c r="G719" s="16" t="s">
        <v>15</v>
      </c>
      <c r="H719" s="16"/>
      <c r="I719" s="16" t="s">
        <v>83</v>
      </c>
    </row>
    <row r="720" spans="1:9" x14ac:dyDescent="0.25">
      <c r="A720" s="6" t="s">
        <v>33</v>
      </c>
      <c r="B720" s="15">
        <v>45688</v>
      </c>
      <c r="C720" s="16" t="s">
        <v>1012</v>
      </c>
      <c r="D720" s="18" t="s">
        <v>1013</v>
      </c>
      <c r="E720" s="16" t="s">
        <v>11</v>
      </c>
      <c r="F720" s="45">
        <v>344.82758620689657</v>
      </c>
      <c r="G720" s="16" t="s">
        <v>15</v>
      </c>
      <c r="H720" s="16"/>
      <c r="I720" s="16" t="s">
        <v>83</v>
      </c>
    </row>
    <row r="721" spans="1:9" x14ac:dyDescent="0.25">
      <c r="A721" s="6" t="s">
        <v>33</v>
      </c>
      <c r="B721" s="5">
        <v>45692</v>
      </c>
      <c r="C721" s="6" t="s">
        <v>1014</v>
      </c>
      <c r="D721" s="6" t="s">
        <v>14</v>
      </c>
      <c r="E721" s="6" t="s">
        <v>18</v>
      </c>
      <c r="F721" s="45">
        <v>1120.6982758620691</v>
      </c>
      <c r="G721" s="6" t="s">
        <v>8</v>
      </c>
      <c r="H721" s="6"/>
      <c r="I721" s="16" t="s">
        <v>83</v>
      </c>
    </row>
    <row r="722" spans="1:9" x14ac:dyDescent="0.25">
      <c r="A722" s="6" t="s">
        <v>33</v>
      </c>
      <c r="B722" s="5">
        <v>45693</v>
      </c>
      <c r="C722" s="6" t="s">
        <v>1015</v>
      </c>
      <c r="D722" s="6" t="s">
        <v>14</v>
      </c>
      <c r="E722" s="6" t="s">
        <v>16</v>
      </c>
      <c r="F722" s="45">
        <v>1815.0000000000002</v>
      </c>
      <c r="G722" s="6" t="s">
        <v>15</v>
      </c>
      <c r="H722" s="6"/>
      <c r="I722" s="16" t="s">
        <v>83</v>
      </c>
    </row>
    <row r="723" spans="1:9" x14ac:dyDescent="0.25">
      <c r="A723" s="6" t="s">
        <v>33</v>
      </c>
      <c r="B723" s="5">
        <v>45693</v>
      </c>
      <c r="C723" s="6" t="s">
        <v>1016</v>
      </c>
      <c r="D723" s="6" t="s">
        <v>1017</v>
      </c>
      <c r="E723" s="6" t="s">
        <v>10</v>
      </c>
      <c r="F723" s="45">
        <v>215.51724137931035</v>
      </c>
      <c r="G723" s="6" t="s">
        <v>8</v>
      </c>
      <c r="H723" s="6"/>
      <c r="I723" s="16" t="s">
        <v>83</v>
      </c>
    </row>
    <row r="724" spans="1:9" x14ac:dyDescent="0.25">
      <c r="A724" s="6" t="s">
        <v>33</v>
      </c>
      <c r="B724" s="5">
        <v>45694</v>
      </c>
      <c r="C724" s="6" t="s">
        <v>1018</v>
      </c>
      <c r="D724" s="6" t="s">
        <v>14</v>
      </c>
      <c r="E724" s="6" t="s">
        <v>16</v>
      </c>
      <c r="F724" s="45">
        <v>1452</v>
      </c>
      <c r="G724" s="6" t="s">
        <v>15</v>
      </c>
      <c r="H724" s="6"/>
      <c r="I724" s="16" t="s">
        <v>83</v>
      </c>
    </row>
    <row r="725" spans="1:9" x14ac:dyDescent="0.25">
      <c r="A725" s="6" t="s">
        <v>33</v>
      </c>
      <c r="B725" s="5">
        <v>45694</v>
      </c>
      <c r="C725" s="6" t="s">
        <v>1019</v>
      </c>
      <c r="D725" s="6" t="s">
        <v>14</v>
      </c>
      <c r="E725" s="6" t="s">
        <v>10</v>
      </c>
      <c r="F725" s="45">
        <v>408.62068965517244</v>
      </c>
      <c r="G725" s="6" t="s">
        <v>8</v>
      </c>
      <c r="H725" s="6"/>
      <c r="I725" s="16" t="s">
        <v>83</v>
      </c>
    </row>
    <row r="726" spans="1:9" x14ac:dyDescent="0.25">
      <c r="A726" s="6" t="s">
        <v>33</v>
      </c>
      <c r="B726" s="5">
        <v>45695</v>
      </c>
      <c r="C726" s="6" t="s">
        <v>1020</v>
      </c>
      <c r="D726" s="6" t="s">
        <v>14</v>
      </c>
      <c r="E726" s="6" t="s">
        <v>18</v>
      </c>
      <c r="F726" s="45">
        <v>612.06896551724139</v>
      </c>
      <c r="G726" s="6" t="s">
        <v>8</v>
      </c>
      <c r="H726" s="6"/>
      <c r="I726" s="16" t="s">
        <v>83</v>
      </c>
    </row>
    <row r="727" spans="1:9" x14ac:dyDescent="0.25">
      <c r="A727" s="6" t="s">
        <v>33</v>
      </c>
      <c r="B727" s="5">
        <v>45695</v>
      </c>
      <c r="C727" s="6" t="s">
        <v>1021</v>
      </c>
      <c r="D727" s="6" t="s">
        <v>14</v>
      </c>
      <c r="E727" s="6" t="s">
        <v>10</v>
      </c>
      <c r="F727" s="45">
        <v>1629.5172413793105</v>
      </c>
      <c r="G727" s="6" t="s">
        <v>8</v>
      </c>
      <c r="H727" s="6"/>
      <c r="I727" s="16" t="s">
        <v>83</v>
      </c>
    </row>
    <row r="728" spans="1:9" x14ac:dyDescent="0.25">
      <c r="A728" s="6" t="s">
        <v>33</v>
      </c>
      <c r="B728" s="5">
        <v>45696</v>
      </c>
      <c r="C728" s="6" t="s">
        <v>1022</v>
      </c>
      <c r="D728" s="6" t="s">
        <v>1023</v>
      </c>
      <c r="E728" s="6" t="s">
        <v>11</v>
      </c>
      <c r="F728" s="45">
        <v>517.24137931034488</v>
      </c>
      <c r="G728" s="6" t="s">
        <v>15</v>
      </c>
      <c r="H728" s="6"/>
      <c r="I728" s="16" t="s">
        <v>83</v>
      </c>
    </row>
    <row r="729" spans="1:9" x14ac:dyDescent="0.25">
      <c r="A729" s="6" t="s">
        <v>33</v>
      </c>
      <c r="B729" s="5">
        <v>45696</v>
      </c>
      <c r="C729" s="6" t="s">
        <v>1024</v>
      </c>
      <c r="D729" s="6" t="s">
        <v>14</v>
      </c>
      <c r="E729" s="6" t="s">
        <v>16</v>
      </c>
      <c r="F729" s="45">
        <v>1525</v>
      </c>
      <c r="G729" s="6" t="s">
        <v>15</v>
      </c>
      <c r="H729" s="6"/>
      <c r="I729" s="16" t="s">
        <v>83</v>
      </c>
    </row>
    <row r="730" spans="1:9" x14ac:dyDescent="0.25">
      <c r="A730" s="6" t="s">
        <v>33</v>
      </c>
      <c r="B730" s="5">
        <v>45696</v>
      </c>
      <c r="C730" s="6" t="s">
        <v>1025</v>
      </c>
      <c r="D730" s="6" t="s">
        <v>14</v>
      </c>
      <c r="E730" s="6" t="s">
        <v>16</v>
      </c>
      <c r="F730" s="45">
        <v>1855.0000000000002</v>
      </c>
      <c r="G730" s="6" t="s">
        <v>15</v>
      </c>
      <c r="H730" s="6"/>
      <c r="I730" s="16" t="s">
        <v>83</v>
      </c>
    </row>
    <row r="731" spans="1:9" x14ac:dyDescent="0.25">
      <c r="A731" s="6" t="s">
        <v>33</v>
      </c>
      <c r="B731" s="5">
        <v>45696</v>
      </c>
      <c r="C731" s="6" t="s">
        <v>1026</v>
      </c>
      <c r="D731" s="6" t="s">
        <v>14</v>
      </c>
      <c r="E731" s="6" t="s">
        <v>16</v>
      </c>
      <c r="F731" s="45">
        <v>1292</v>
      </c>
      <c r="G731" s="6" t="s">
        <v>15</v>
      </c>
      <c r="H731" s="6"/>
      <c r="I731" s="16" t="s">
        <v>83</v>
      </c>
    </row>
    <row r="732" spans="1:9" x14ac:dyDescent="0.25">
      <c r="A732" s="6" t="s">
        <v>33</v>
      </c>
      <c r="B732" s="5">
        <v>45698</v>
      </c>
      <c r="C732" s="6" t="s">
        <v>1027</v>
      </c>
      <c r="D732" s="6" t="s">
        <v>1028</v>
      </c>
      <c r="E732" s="6" t="s">
        <v>10</v>
      </c>
      <c r="F732" s="45">
        <v>2491.3793103448279</v>
      </c>
      <c r="G732" s="6" t="s">
        <v>8</v>
      </c>
      <c r="H732" s="6"/>
      <c r="I732" s="16" t="s">
        <v>83</v>
      </c>
    </row>
    <row r="733" spans="1:9" x14ac:dyDescent="0.25">
      <c r="A733" s="6" t="s">
        <v>33</v>
      </c>
      <c r="B733" s="5">
        <v>45698</v>
      </c>
      <c r="C733" s="6" t="s">
        <v>1029</v>
      </c>
      <c r="D733" s="6" t="s">
        <v>22</v>
      </c>
      <c r="E733" s="6" t="s">
        <v>18</v>
      </c>
      <c r="F733" s="45">
        <v>4927.5</v>
      </c>
      <c r="G733" s="6" t="s">
        <v>34</v>
      </c>
      <c r="H733" s="6"/>
      <c r="I733" s="16" t="s">
        <v>83</v>
      </c>
    </row>
    <row r="734" spans="1:9" x14ac:dyDescent="0.25">
      <c r="A734" s="6" t="s">
        <v>33</v>
      </c>
      <c r="B734" s="5">
        <v>45699</v>
      </c>
      <c r="C734" s="6" t="s">
        <v>1030</v>
      </c>
      <c r="D734" s="6" t="s">
        <v>22</v>
      </c>
      <c r="E734" s="6" t="s">
        <v>10</v>
      </c>
      <c r="F734" s="45">
        <v>270</v>
      </c>
      <c r="G734" s="6" t="s">
        <v>34</v>
      </c>
      <c r="H734" s="6"/>
      <c r="I734" s="16" t="s">
        <v>83</v>
      </c>
    </row>
    <row r="735" spans="1:9" x14ac:dyDescent="0.25">
      <c r="A735" s="6" t="s">
        <v>33</v>
      </c>
      <c r="B735" s="5">
        <v>45700</v>
      </c>
      <c r="C735" s="6" t="s">
        <v>1031</v>
      </c>
      <c r="D735" s="7" t="s">
        <v>14</v>
      </c>
      <c r="E735" s="6" t="s">
        <v>18</v>
      </c>
      <c r="F735" s="45">
        <v>68.965517241379317</v>
      </c>
      <c r="G735" s="7" t="s">
        <v>8</v>
      </c>
      <c r="H735" s="6"/>
      <c r="I735" s="16" t="s">
        <v>83</v>
      </c>
    </row>
    <row r="736" spans="1:9" x14ac:dyDescent="0.25">
      <c r="A736" s="6" t="s">
        <v>33</v>
      </c>
      <c r="B736" s="5">
        <v>45700</v>
      </c>
      <c r="C736" s="6" t="s">
        <v>1032</v>
      </c>
      <c r="D736" s="6" t="s">
        <v>14</v>
      </c>
      <c r="E736" s="6" t="s">
        <v>20</v>
      </c>
      <c r="F736" s="45">
        <v>2155.1724137931037</v>
      </c>
      <c r="G736" s="6" t="s">
        <v>8</v>
      </c>
      <c r="H736" s="6" t="s">
        <v>1033</v>
      </c>
      <c r="I736" s="16" t="s">
        <v>83</v>
      </c>
    </row>
    <row r="737" spans="1:10" x14ac:dyDescent="0.25">
      <c r="A737" s="6" t="s">
        <v>33</v>
      </c>
      <c r="B737" s="5">
        <v>45701</v>
      </c>
      <c r="C737" s="6" t="s">
        <v>1034</v>
      </c>
      <c r="D737" s="6" t="s">
        <v>1035</v>
      </c>
      <c r="E737" s="6" t="s">
        <v>10</v>
      </c>
      <c r="F737" s="45">
        <v>172.41379310344828</v>
      </c>
      <c r="G737" s="6" t="s">
        <v>8</v>
      </c>
      <c r="H737" s="6"/>
      <c r="I737" s="16" t="s">
        <v>83</v>
      </c>
    </row>
    <row r="738" spans="1:10" x14ac:dyDescent="0.25">
      <c r="A738" s="6" t="s">
        <v>33</v>
      </c>
      <c r="B738" s="5">
        <v>45701</v>
      </c>
      <c r="C738" s="6" t="s">
        <v>1036</v>
      </c>
      <c r="D738" s="6" t="s">
        <v>14</v>
      </c>
      <c r="E738" s="6" t="s">
        <v>10</v>
      </c>
      <c r="F738" s="45">
        <v>1465.5172413793105</v>
      </c>
      <c r="G738" s="6" t="s">
        <v>8</v>
      </c>
      <c r="H738" s="6"/>
      <c r="I738" s="16" t="s">
        <v>83</v>
      </c>
    </row>
    <row r="739" spans="1:10" x14ac:dyDescent="0.25">
      <c r="A739" s="6" t="s">
        <v>33</v>
      </c>
      <c r="B739" s="5">
        <v>45702</v>
      </c>
      <c r="C739" s="6" t="s">
        <v>1037</v>
      </c>
      <c r="D739" s="6" t="s">
        <v>22</v>
      </c>
      <c r="E739" s="6"/>
      <c r="F739" s="46">
        <v>0</v>
      </c>
      <c r="G739" s="6"/>
      <c r="H739" s="6"/>
      <c r="I739" s="16" t="s">
        <v>83</v>
      </c>
    </row>
    <row r="740" spans="1:10" x14ac:dyDescent="0.25">
      <c r="A740" s="6" t="s">
        <v>33</v>
      </c>
      <c r="B740" s="5">
        <v>45705</v>
      </c>
      <c r="C740" s="6" t="s">
        <v>1038</v>
      </c>
      <c r="D740" s="6" t="s">
        <v>22</v>
      </c>
      <c r="E740" s="6" t="s">
        <v>18</v>
      </c>
      <c r="F740" s="45">
        <v>11216</v>
      </c>
      <c r="G740" s="6" t="s">
        <v>34</v>
      </c>
      <c r="H740" s="6"/>
      <c r="I740" s="16" t="s">
        <v>83</v>
      </c>
    </row>
    <row r="741" spans="1:10" x14ac:dyDescent="0.25">
      <c r="A741" s="6" t="s">
        <v>33</v>
      </c>
      <c r="B741" s="5">
        <v>45705</v>
      </c>
      <c r="C741" s="6" t="s">
        <v>1039</v>
      </c>
      <c r="D741" s="6" t="s">
        <v>35</v>
      </c>
      <c r="E741" s="6" t="s">
        <v>23</v>
      </c>
      <c r="F741" s="45">
        <v>360000</v>
      </c>
      <c r="G741" s="6" t="s">
        <v>13</v>
      </c>
      <c r="H741" s="6" t="s">
        <v>1040</v>
      </c>
      <c r="I741" s="16" t="s">
        <v>83</v>
      </c>
    </row>
    <row r="742" spans="1:10" x14ac:dyDescent="0.25">
      <c r="A742" s="6" t="s">
        <v>33</v>
      </c>
      <c r="B742" s="5">
        <v>45706</v>
      </c>
      <c r="C742" s="6" t="s">
        <v>1041</v>
      </c>
      <c r="D742" s="6" t="s">
        <v>1042</v>
      </c>
      <c r="E742" s="6" t="s">
        <v>20</v>
      </c>
      <c r="F742" s="45">
        <v>8925.8620689655181</v>
      </c>
      <c r="G742" s="6" t="s">
        <v>968</v>
      </c>
      <c r="H742" s="6" t="s">
        <v>1043</v>
      </c>
      <c r="I742" s="16" t="s">
        <v>83</v>
      </c>
    </row>
    <row r="743" spans="1:10" x14ac:dyDescent="0.25">
      <c r="A743" s="6" t="s">
        <v>33</v>
      </c>
      <c r="B743" s="5">
        <v>45707</v>
      </c>
      <c r="C743" s="6" t="s">
        <v>1044</v>
      </c>
      <c r="D743" s="6" t="s">
        <v>35</v>
      </c>
      <c r="E743" s="6" t="s">
        <v>23</v>
      </c>
      <c r="F743" s="45">
        <v>44640.000000000007</v>
      </c>
      <c r="G743" s="6" t="s">
        <v>13</v>
      </c>
      <c r="H743" s="6" t="s">
        <v>1045</v>
      </c>
      <c r="I743" s="16" t="s">
        <v>83</v>
      </c>
    </row>
    <row r="744" spans="1:10" x14ac:dyDescent="0.25">
      <c r="A744" s="6" t="s">
        <v>33</v>
      </c>
      <c r="B744" s="5">
        <v>45707</v>
      </c>
      <c r="C744" s="6" t="s">
        <v>1046</v>
      </c>
      <c r="D744" s="6" t="s">
        <v>35</v>
      </c>
      <c r="E744" s="6" t="s">
        <v>23</v>
      </c>
      <c r="F744" s="45">
        <v>78300</v>
      </c>
      <c r="G744" s="6" t="s">
        <v>13</v>
      </c>
      <c r="H744" s="6" t="s">
        <v>1047</v>
      </c>
      <c r="I744" s="16" t="s">
        <v>83</v>
      </c>
    </row>
    <row r="745" spans="1:10" x14ac:dyDescent="0.25">
      <c r="A745" s="6" t="s">
        <v>33</v>
      </c>
      <c r="B745" s="5">
        <v>45707</v>
      </c>
      <c r="C745" s="6" t="s">
        <v>1048</v>
      </c>
      <c r="D745" s="6" t="s">
        <v>35</v>
      </c>
      <c r="E745" s="6" t="s">
        <v>23</v>
      </c>
      <c r="F745" s="45">
        <v>9900</v>
      </c>
      <c r="G745" s="6" t="s">
        <v>13</v>
      </c>
      <c r="H745" s="6" t="s">
        <v>1049</v>
      </c>
      <c r="I745" s="16" t="s">
        <v>83</v>
      </c>
    </row>
    <row r="746" spans="1:10" x14ac:dyDescent="0.25">
      <c r="A746" s="6" t="s">
        <v>33</v>
      </c>
      <c r="B746" s="5">
        <v>45707</v>
      </c>
      <c r="C746" s="6" t="s">
        <v>1050</v>
      </c>
      <c r="D746" s="6" t="s">
        <v>14</v>
      </c>
      <c r="E746" s="6" t="s">
        <v>11</v>
      </c>
      <c r="F746" s="45">
        <v>258.62068965517244</v>
      </c>
      <c r="G746" s="6" t="s">
        <v>15</v>
      </c>
      <c r="H746" s="6"/>
      <c r="I746" s="16" t="s">
        <v>83</v>
      </c>
    </row>
    <row r="747" spans="1:10" x14ac:dyDescent="0.25">
      <c r="A747" s="6" t="s">
        <v>33</v>
      </c>
      <c r="B747" s="5">
        <v>45707</v>
      </c>
      <c r="C747" s="6" t="s">
        <v>1051</v>
      </c>
      <c r="D747" s="6" t="s">
        <v>14</v>
      </c>
      <c r="E747" s="6" t="s">
        <v>16</v>
      </c>
      <c r="F747" s="45">
        <v>1043.0000000000002</v>
      </c>
      <c r="G747" s="6" t="s">
        <v>15</v>
      </c>
      <c r="H747" s="6"/>
      <c r="I747" s="16" t="s">
        <v>83</v>
      </c>
    </row>
    <row r="748" spans="1:10" x14ac:dyDescent="0.25">
      <c r="A748" s="6" t="s">
        <v>33</v>
      </c>
      <c r="B748" s="5">
        <v>45707</v>
      </c>
      <c r="C748" s="6" t="s">
        <v>1052</v>
      </c>
      <c r="D748" s="6" t="s">
        <v>14</v>
      </c>
      <c r="E748" s="6" t="s">
        <v>16</v>
      </c>
      <c r="F748" s="45">
        <v>2721.0000000000005</v>
      </c>
      <c r="G748" s="6" t="s">
        <v>15</v>
      </c>
      <c r="H748" s="6"/>
      <c r="I748" s="16" t="s">
        <v>83</v>
      </c>
    </row>
    <row r="749" spans="1:10" x14ac:dyDescent="0.25">
      <c r="A749" s="6" t="s">
        <v>33</v>
      </c>
      <c r="B749" s="5">
        <v>45708</v>
      </c>
      <c r="C749" s="6" t="s">
        <v>1053</v>
      </c>
      <c r="D749" s="6" t="s">
        <v>1054</v>
      </c>
      <c r="E749" s="6" t="s">
        <v>16</v>
      </c>
      <c r="F749" s="45">
        <v>7121.0000000000009</v>
      </c>
      <c r="G749" s="6" t="s">
        <v>15</v>
      </c>
      <c r="H749" s="6"/>
      <c r="I749" s="16" t="s">
        <v>83</v>
      </c>
    </row>
    <row r="750" spans="1:10" x14ac:dyDescent="0.25">
      <c r="A750" s="6" t="s">
        <v>33</v>
      </c>
      <c r="B750" s="5">
        <v>45708</v>
      </c>
      <c r="C750" s="6" t="s">
        <v>1055</v>
      </c>
      <c r="D750" s="6" t="s">
        <v>1056</v>
      </c>
      <c r="E750" s="6" t="s">
        <v>20</v>
      </c>
      <c r="F750" s="45">
        <v>5172.4137931034484</v>
      </c>
      <c r="G750" s="6" t="s">
        <v>8</v>
      </c>
      <c r="H750" s="6" t="s">
        <v>1057</v>
      </c>
      <c r="I750" s="16" t="s">
        <v>83</v>
      </c>
    </row>
    <row r="751" spans="1:10" x14ac:dyDescent="0.25">
      <c r="A751" s="6" t="s">
        <v>33</v>
      </c>
      <c r="B751" s="5">
        <v>45708</v>
      </c>
      <c r="C751" s="6" t="s">
        <v>1058</v>
      </c>
      <c r="D751" s="6" t="s">
        <v>1059</v>
      </c>
      <c r="E751" s="6" t="s">
        <v>16</v>
      </c>
      <c r="F751" s="45">
        <v>2400</v>
      </c>
      <c r="G751" s="6" t="s">
        <v>15</v>
      </c>
      <c r="H751" s="6"/>
      <c r="I751" s="16" t="s">
        <v>83</v>
      </c>
    </row>
    <row r="752" spans="1:10" x14ac:dyDescent="0.25">
      <c r="A752" s="20" t="s">
        <v>33</v>
      </c>
      <c r="B752" s="19">
        <v>45709</v>
      </c>
      <c r="C752" s="20" t="s">
        <v>1060</v>
      </c>
      <c r="D752" s="20" t="s">
        <v>22</v>
      </c>
      <c r="E752" s="20" t="s">
        <v>10</v>
      </c>
      <c r="F752" s="47">
        <v>1200</v>
      </c>
      <c r="G752" s="20" t="s">
        <v>13</v>
      </c>
      <c r="H752" s="20"/>
      <c r="I752" s="66" t="s">
        <v>83</v>
      </c>
      <c r="J752" s="50" t="s">
        <v>2026</v>
      </c>
    </row>
    <row r="753" spans="1:10" x14ac:dyDescent="0.25">
      <c r="A753" s="6" t="s">
        <v>33</v>
      </c>
      <c r="B753" s="5">
        <v>45709</v>
      </c>
      <c r="C753" s="6" t="s">
        <v>1061</v>
      </c>
      <c r="D753" s="6" t="s">
        <v>14</v>
      </c>
      <c r="E753" s="6" t="s">
        <v>16</v>
      </c>
      <c r="F753" s="45">
        <v>3430.1724137931037</v>
      </c>
      <c r="G753" s="6" t="s">
        <v>15</v>
      </c>
      <c r="H753" s="6"/>
      <c r="I753" s="16" t="s">
        <v>83</v>
      </c>
    </row>
    <row r="754" spans="1:10" x14ac:dyDescent="0.25">
      <c r="A754" s="6" t="s">
        <v>33</v>
      </c>
      <c r="B754" s="5">
        <v>45712</v>
      </c>
      <c r="C754" s="6" t="s">
        <v>1062</v>
      </c>
      <c r="D754" s="6" t="s">
        <v>35</v>
      </c>
      <c r="E754" s="6" t="s">
        <v>23</v>
      </c>
      <c r="F754" s="45">
        <v>297900</v>
      </c>
      <c r="G754" s="6" t="s">
        <v>13</v>
      </c>
      <c r="H754" s="6" t="s">
        <v>1063</v>
      </c>
      <c r="I754" s="16" t="s">
        <v>83</v>
      </c>
    </row>
    <row r="755" spans="1:10" x14ac:dyDescent="0.25">
      <c r="A755" s="6" t="s">
        <v>33</v>
      </c>
      <c r="B755" s="5">
        <v>45712</v>
      </c>
      <c r="C755" s="6" t="s">
        <v>1064</v>
      </c>
      <c r="D755" s="6" t="s">
        <v>14</v>
      </c>
      <c r="E755" s="6" t="s">
        <v>11</v>
      </c>
      <c r="F755" s="45">
        <v>258.62068965517244</v>
      </c>
      <c r="G755" s="6" t="s">
        <v>15</v>
      </c>
      <c r="H755" s="6"/>
      <c r="I755" s="16" t="s">
        <v>83</v>
      </c>
    </row>
    <row r="756" spans="1:10" x14ac:dyDescent="0.25">
      <c r="A756" s="6" t="s">
        <v>33</v>
      </c>
      <c r="B756" s="5">
        <v>45713</v>
      </c>
      <c r="C756" s="6" t="s">
        <v>1065</v>
      </c>
      <c r="D756" s="7" t="s">
        <v>14</v>
      </c>
      <c r="E756" s="6" t="s">
        <v>18</v>
      </c>
      <c r="F756" s="45">
        <v>775.86206896551732</v>
      </c>
      <c r="G756" s="7" t="s">
        <v>8</v>
      </c>
      <c r="H756" s="6"/>
      <c r="I756" s="16" t="s">
        <v>83</v>
      </c>
    </row>
    <row r="757" spans="1:10" x14ac:dyDescent="0.25">
      <c r="A757" s="6" t="s">
        <v>33</v>
      </c>
      <c r="B757" s="5">
        <v>45713</v>
      </c>
      <c r="C757" s="6" t="s">
        <v>1066</v>
      </c>
      <c r="D757" s="6" t="s">
        <v>14</v>
      </c>
      <c r="E757" s="6" t="s">
        <v>20</v>
      </c>
      <c r="F757" s="45">
        <v>3620.6896551724139</v>
      </c>
      <c r="G757" s="6" t="s">
        <v>8</v>
      </c>
      <c r="H757" s="6" t="s">
        <v>1067</v>
      </c>
      <c r="I757" s="16" t="s">
        <v>83</v>
      </c>
    </row>
    <row r="758" spans="1:10" x14ac:dyDescent="0.25">
      <c r="A758" s="6" t="s">
        <v>33</v>
      </c>
      <c r="B758" s="5">
        <v>45713</v>
      </c>
      <c r="C758" s="6" t="s">
        <v>1068</v>
      </c>
      <c r="D758" s="6" t="s">
        <v>35</v>
      </c>
      <c r="E758" s="6" t="s">
        <v>23</v>
      </c>
      <c r="F758" s="45">
        <v>504000.00000000006</v>
      </c>
      <c r="G758" s="6" t="s">
        <v>13</v>
      </c>
      <c r="H758" s="6" t="s">
        <v>1069</v>
      </c>
      <c r="I758" s="16" t="s">
        <v>83</v>
      </c>
    </row>
    <row r="759" spans="1:10" x14ac:dyDescent="0.25">
      <c r="A759" s="6" t="s">
        <v>33</v>
      </c>
      <c r="B759" s="5">
        <v>45713</v>
      </c>
      <c r="C759" s="6" t="s">
        <v>1070</v>
      </c>
      <c r="D759" s="6" t="s">
        <v>1071</v>
      </c>
      <c r="E759" s="6" t="s">
        <v>10</v>
      </c>
      <c r="F759" s="45">
        <v>1465.5172413793105</v>
      </c>
      <c r="G759" s="6" t="s">
        <v>8</v>
      </c>
      <c r="H759" s="6"/>
      <c r="I759" s="16" t="s">
        <v>83</v>
      </c>
    </row>
    <row r="760" spans="1:10" x14ac:dyDescent="0.25">
      <c r="A760" s="6" t="s">
        <v>33</v>
      </c>
      <c r="B760" s="5">
        <v>45713</v>
      </c>
      <c r="C760" s="6" t="s">
        <v>1072</v>
      </c>
      <c r="D760" s="6" t="s">
        <v>30</v>
      </c>
      <c r="E760" s="6"/>
      <c r="F760" s="45">
        <v>0</v>
      </c>
      <c r="G760" s="6"/>
      <c r="H760" s="6"/>
      <c r="I760" s="16" t="s">
        <v>83</v>
      </c>
    </row>
    <row r="761" spans="1:10" x14ac:dyDescent="0.25">
      <c r="A761" s="6" t="s">
        <v>33</v>
      </c>
      <c r="B761" s="5">
        <v>45714</v>
      </c>
      <c r="C761" s="6" t="s">
        <v>1073</v>
      </c>
      <c r="D761" s="6" t="s">
        <v>14</v>
      </c>
      <c r="E761" s="6" t="s">
        <v>10</v>
      </c>
      <c r="F761" s="45">
        <v>431.04310344827587</v>
      </c>
      <c r="G761" s="6" t="s">
        <v>8</v>
      </c>
      <c r="H761" s="6"/>
      <c r="I761" s="16" t="s">
        <v>83</v>
      </c>
    </row>
    <row r="762" spans="1:10" x14ac:dyDescent="0.25">
      <c r="A762" s="6" t="s">
        <v>33</v>
      </c>
      <c r="B762" s="5">
        <v>45714</v>
      </c>
      <c r="C762" s="6" t="s">
        <v>1074</v>
      </c>
      <c r="D762" s="6" t="s">
        <v>1075</v>
      </c>
      <c r="E762" s="6" t="s">
        <v>11</v>
      </c>
      <c r="F762" s="45">
        <v>344.82758620689657</v>
      </c>
      <c r="G762" s="6" t="s">
        <v>15</v>
      </c>
      <c r="H762" s="6"/>
      <c r="I762" s="16" t="s">
        <v>83</v>
      </c>
    </row>
    <row r="763" spans="1:10" x14ac:dyDescent="0.25">
      <c r="A763" s="20" t="s">
        <v>33</v>
      </c>
      <c r="B763" s="19">
        <v>45715</v>
      </c>
      <c r="C763" s="20" t="s">
        <v>1076</v>
      </c>
      <c r="D763" s="20" t="s">
        <v>22</v>
      </c>
      <c r="E763" s="20" t="s">
        <v>18</v>
      </c>
      <c r="F763" s="47">
        <v>9188</v>
      </c>
      <c r="G763" s="20" t="s">
        <v>1077</v>
      </c>
      <c r="H763" s="20"/>
      <c r="I763" s="66" t="s">
        <v>83</v>
      </c>
      <c r="J763" s="50" t="s">
        <v>2027</v>
      </c>
    </row>
    <row r="764" spans="1:10" x14ac:dyDescent="0.25">
      <c r="A764" s="6" t="s">
        <v>33</v>
      </c>
      <c r="B764" s="5">
        <v>45715</v>
      </c>
      <c r="C764" s="6" t="s">
        <v>1078</v>
      </c>
      <c r="D764" s="6" t="s">
        <v>22</v>
      </c>
      <c r="E764" s="6"/>
      <c r="F764" s="45">
        <v>0</v>
      </c>
      <c r="G764" s="6"/>
      <c r="H764" s="6"/>
      <c r="I764" s="16" t="s">
        <v>83</v>
      </c>
    </row>
    <row r="765" spans="1:10" x14ac:dyDescent="0.25">
      <c r="A765" s="6" t="s">
        <v>33</v>
      </c>
      <c r="B765" s="5">
        <v>45715</v>
      </c>
      <c r="C765" s="6" t="s">
        <v>1079</v>
      </c>
      <c r="D765" s="6" t="s">
        <v>1080</v>
      </c>
      <c r="E765" s="6" t="s">
        <v>20</v>
      </c>
      <c r="F765" s="45">
        <v>3620.6896551724139</v>
      </c>
      <c r="G765" s="6" t="s">
        <v>8</v>
      </c>
      <c r="H765" s="6" t="s">
        <v>1067</v>
      </c>
      <c r="I765" s="16" t="s">
        <v>83</v>
      </c>
    </row>
    <row r="766" spans="1:10" x14ac:dyDescent="0.25">
      <c r="A766" s="6" t="s">
        <v>33</v>
      </c>
      <c r="B766" s="5">
        <v>45715</v>
      </c>
      <c r="C766" s="6" t="s">
        <v>1081</v>
      </c>
      <c r="D766" s="6" t="s">
        <v>22</v>
      </c>
      <c r="E766" s="6" t="s">
        <v>10</v>
      </c>
      <c r="F766" s="45">
        <v>981.00000000000011</v>
      </c>
      <c r="G766" s="6" t="s">
        <v>34</v>
      </c>
      <c r="H766" s="6"/>
      <c r="I766" s="16" t="s">
        <v>83</v>
      </c>
    </row>
    <row r="767" spans="1:10" x14ac:dyDescent="0.25">
      <c r="A767" s="6" t="s">
        <v>33</v>
      </c>
      <c r="B767" s="5">
        <v>45715</v>
      </c>
      <c r="C767" s="6" t="s">
        <v>1082</v>
      </c>
      <c r="D767" s="6" t="s">
        <v>1083</v>
      </c>
      <c r="E767" s="6" t="s">
        <v>16</v>
      </c>
      <c r="F767" s="45">
        <v>2120</v>
      </c>
      <c r="G767" s="6" t="s">
        <v>15</v>
      </c>
      <c r="H767" s="6"/>
      <c r="I767" s="16" t="s">
        <v>83</v>
      </c>
    </row>
    <row r="768" spans="1:10" x14ac:dyDescent="0.25">
      <c r="A768" s="6" t="s">
        <v>33</v>
      </c>
      <c r="B768" s="69">
        <v>45719</v>
      </c>
      <c r="C768" s="6" t="s">
        <v>1084</v>
      </c>
      <c r="D768" s="6" t="s">
        <v>1085</v>
      </c>
      <c r="E768" s="6" t="s">
        <v>11</v>
      </c>
      <c r="F768" s="45">
        <v>258.62068965517244</v>
      </c>
      <c r="G768" s="6" t="s">
        <v>15</v>
      </c>
      <c r="H768" s="6"/>
      <c r="I768" s="16" t="s">
        <v>83</v>
      </c>
    </row>
    <row r="769" spans="1:9" x14ac:dyDescent="0.25">
      <c r="A769" s="6" t="s">
        <v>33</v>
      </c>
      <c r="B769" s="5">
        <v>45719</v>
      </c>
      <c r="C769" s="6" t="s">
        <v>1086</v>
      </c>
      <c r="D769" s="6" t="s">
        <v>1087</v>
      </c>
      <c r="E769" s="6" t="s">
        <v>10</v>
      </c>
      <c r="F769" s="45">
        <v>498</v>
      </c>
      <c r="G769" s="6" t="s">
        <v>968</v>
      </c>
      <c r="H769" s="6"/>
      <c r="I769" s="16" t="s">
        <v>83</v>
      </c>
    </row>
    <row r="770" spans="1:9" x14ac:dyDescent="0.25">
      <c r="A770" s="6" t="s">
        <v>33</v>
      </c>
      <c r="B770" s="5">
        <v>45719</v>
      </c>
      <c r="C770" s="6" t="s">
        <v>1088</v>
      </c>
      <c r="D770" s="6" t="s">
        <v>14</v>
      </c>
      <c r="E770" s="6" t="s">
        <v>10</v>
      </c>
      <c r="F770" s="45">
        <v>43.103448275862071</v>
      </c>
      <c r="G770" s="6" t="s">
        <v>8</v>
      </c>
      <c r="H770" s="6"/>
      <c r="I770" s="16" t="s">
        <v>83</v>
      </c>
    </row>
    <row r="771" spans="1:9" x14ac:dyDescent="0.25">
      <c r="A771" s="6" t="s">
        <v>33</v>
      </c>
      <c r="B771" s="5">
        <v>45726</v>
      </c>
      <c r="C771" s="6" t="s">
        <v>1089</v>
      </c>
      <c r="D771" s="6" t="s">
        <v>24</v>
      </c>
      <c r="E771" s="6" t="s">
        <v>18</v>
      </c>
      <c r="F771" s="45">
        <v>2248.2758620689656</v>
      </c>
      <c r="G771" s="6" t="s">
        <v>15</v>
      </c>
      <c r="H771" s="6"/>
      <c r="I771" s="16" t="s">
        <v>83</v>
      </c>
    </row>
    <row r="772" spans="1:9" x14ac:dyDescent="0.25">
      <c r="A772" s="6" t="s">
        <v>33</v>
      </c>
      <c r="B772" s="5">
        <v>45726</v>
      </c>
      <c r="C772" s="6" t="s">
        <v>1090</v>
      </c>
      <c r="D772" s="6" t="s">
        <v>14</v>
      </c>
      <c r="E772" s="6" t="s">
        <v>16</v>
      </c>
      <c r="F772" s="45">
        <v>2038</v>
      </c>
      <c r="G772" s="6" t="s">
        <v>15</v>
      </c>
      <c r="H772" s="6"/>
      <c r="I772" s="16" t="s">
        <v>83</v>
      </c>
    </row>
    <row r="773" spans="1:9" x14ac:dyDescent="0.25">
      <c r="A773" s="6" t="s">
        <v>33</v>
      </c>
      <c r="B773" s="5">
        <v>45726</v>
      </c>
      <c r="C773" s="6" t="s">
        <v>1091</v>
      </c>
      <c r="D773" s="6" t="s">
        <v>1092</v>
      </c>
      <c r="E773" s="6" t="s">
        <v>18</v>
      </c>
      <c r="F773" s="45">
        <v>1120.6896551724139</v>
      </c>
      <c r="G773" s="6" t="s">
        <v>8</v>
      </c>
      <c r="H773" s="6"/>
      <c r="I773" s="16" t="s">
        <v>83</v>
      </c>
    </row>
    <row r="774" spans="1:9" x14ac:dyDescent="0.25">
      <c r="A774" s="6" t="s">
        <v>33</v>
      </c>
      <c r="B774" s="5">
        <v>45727</v>
      </c>
      <c r="C774" s="6" t="s">
        <v>1093</v>
      </c>
      <c r="D774" s="6" t="s">
        <v>30</v>
      </c>
      <c r="E774" s="6"/>
      <c r="F774" s="45">
        <v>0</v>
      </c>
      <c r="G774" s="6"/>
      <c r="H774" s="6"/>
      <c r="I774" s="16" t="s">
        <v>83</v>
      </c>
    </row>
    <row r="775" spans="1:9" x14ac:dyDescent="0.25">
      <c r="A775" s="6" t="s">
        <v>33</v>
      </c>
      <c r="B775" s="5">
        <v>45727</v>
      </c>
      <c r="C775" s="6" t="s">
        <v>1094</v>
      </c>
      <c r="D775" s="6" t="s">
        <v>32</v>
      </c>
      <c r="E775" s="6" t="s">
        <v>10</v>
      </c>
      <c r="F775" s="45">
        <v>1760</v>
      </c>
      <c r="G775" s="6" t="s">
        <v>13</v>
      </c>
      <c r="H775" s="6"/>
      <c r="I775" s="16" t="s">
        <v>83</v>
      </c>
    </row>
    <row r="776" spans="1:9" x14ac:dyDescent="0.25">
      <c r="A776" s="6" t="s">
        <v>33</v>
      </c>
      <c r="B776" s="5">
        <v>45727</v>
      </c>
      <c r="C776" s="6" t="s">
        <v>1095</v>
      </c>
      <c r="D776" s="6" t="s">
        <v>1096</v>
      </c>
      <c r="E776" s="6" t="s">
        <v>16</v>
      </c>
      <c r="F776" s="45">
        <v>1877.0000000000002</v>
      </c>
      <c r="G776" s="6" t="s">
        <v>15</v>
      </c>
      <c r="H776" s="6"/>
      <c r="I776" s="16" t="s">
        <v>83</v>
      </c>
    </row>
    <row r="777" spans="1:9" x14ac:dyDescent="0.25">
      <c r="A777" s="6" t="s">
        <v>33</v>
      </c>
      <c r="B777" s="5">
        <v>45727</v>
      </c>
      <c r="C777" s="6" t="s">
        <v>1097</v>
      </c>
      <c r="D777" s="6" t="s">
        <v>30</v>
      </c>
      <c r="E777" s="6"/>
      <c r="F777" s="45">
        <v>0</v>
      </c>
      <c r="G777" s="6"/>
      <c r="H777" s="6"/>
      <c r="I777" s="16" t="s">
        <v>83</v>
      </c>
    </row>
    <row r="778" spans="1:9" x14ac:dyDescent="0.25">
      <c r="A778" s="6" t="s">
        <v>33</v>
      </c>
      <c r="B778" s="5">
        <v>45727</v>
      </c>
      <c r="C778" s="6" t="s">
        <v>1098</v>
      </c>
      <c r="D778" s="6" t="s">
        <v>22</v>
      </c>
      <c r="E778" s="6" t="s">
        <v>9</v>
      </c>
      <c r="F778" s="45">
        <v>2595.8362068965521</v>
      </c>
      <c r="G778" s="6" t="s">
        <v>34</v>
      </c>
      <c r="H778" s="6"/>
      <c r="I778" s="16" t="s">
        <v>83</v>
      </c>
    </row>
    <row r="779" spans="1:9" x14ac:dyDescent="0.25">
      <c r="A779" s="6" t="s">
        <v>33</v>
      </c>
      <c r="B779" s="5">
        <v>45727</v>
      </c>
      <c r="C779" s="6" t="s">
        <v>1099</v>
      </c>
      <c r="D779" s="6" t="s">
        <v>22</v>
      </c>
      <c r="E779" s="6" t="s">
        <v>23</v>
      </c>
      <c r="F779" s="45">
        <v>6190.8017241379312</v>
      </c>
      <c r="G779" s="6" t="s">
        <v>34</v>
      </c>
      <c r="H779" s="6" t="s">
        <v>36</v>
      </c>
      <c r="I779" s="16" t="s">
        <v>83</v>
      </c>
    </row>
    <row r="780" spans="1:9" x14ac:dyDescent="0.25">
      <c r="A780" s="6" t="s">
        <v>33</v>
      </c>
      <c r="B780" s="5">
        <v>45727</v>
      </c>
      <c r="C780" s="6" t="s">
        <v>1100</v>
      </c>
      <c r="D780" s="6" t="s">
        <v>1101</v>
      </c>
      <c r="E780" s="6" t="s">
        <v>18</v>
      </c>
      <c r="F780" s="45">
        <v>534.48275862068965</v>
      </c>
      <c r="G780" s="6" t="s">
        <v>8</v>
      </c>
      <c r="H780" s="6"/>
      <c r="I780" s="16" t="s">
        <v>83</v>
      </c>
    </row>
    <row r="781" spans="1:9" x14ac:dyDescent="0.25">
      <c r="A781" s="6" t="s">
        <v>33</v>
      </c>
      <c r="B781" s="5">
        <v>45727</v>
      </c>
      <c r="C781" s="6" t="s">
        <v>1102</v>
      </c>
      <c r="D781" s="7" t="s">
        <v>1103</v>
      </c>
      <c r="E781" s="6" t="s">
        <v>16</v>
      </c>
      <c r="F781" s="45">
        <v>6817.0000000000009</v>
      </c>
      <c r="G781" s="7" t="s">
        <v>15</v>
      </c>
      <c r="H781" s="6"/>
      <c r="I781" s="16" t="s">
        <v>83</v>
      </c>
    </row>
    <row r="782" spans="1:9" x14ac:dyDescent="0.25">
      <c r="A782" s="6" t="s">
        <v>33</v>
      </c>
      <c r="B782" s="5">
        <v>45727</v>
      </c>
      <c r="C782" s="6" t="s">
        <v>1104</v>
      </c>
      <c r="D782" s="6" t="s">
        <v>14</v>
      </c>
      <c r="E782" s="6" t="s">
        <v>10</v>
      </c>
      <c r="F782" s="45">
        <v>172.41379310344828</v>
      </c>
      <c r="G782" s="6" t="s">
        <v>8</v>
      </c>
      <c r="H782" s="6"/>
      <c r="I782" s="16" t="s">
        <v>83</v>
      </c>
    </row>
    <row r="783" spans="1:9" x14ac:dyDescent="0.25">
      <c r="A783" s="6" t="s">
        <v>33</v>
      </c>
      <c r="B783" s="5">
        <v>45730</v>
      </c>
      <c r="C783" s="6" t="s">
        <v>1105</v>
      </c>
      <c r="D783" s="6" t="s">
        <v>14</v>
      </c>
      <c r="E783" s="6" t="s">
        <v>16</v>
      </c>
      <c r="F783" s="45">
        <v>3472.5603448275865</v>
      </c>
      <c r="G783" s="6" t="s">
        <v>15</v>
      </c>
      <c r="H783" s="6"/>
      <c r="I783" s="16" t="s">
        <v>83</v>
      </c>
    </row>
    <row r="784" spans="1:9" x14ac:dyDescent="0.25">
      <c r="A784" s="6" t="s">
        <v>33</v>
      </c>
      <c r="B784" s="5">
        <v>45730</v>
      </c>
      <c r="C784" s="6" t="s">
        <v>1106</v>
      </c>
      <c r="D784" s="6" t="s">
        <v>14</v>
      </c>
      <c r="E784" s="6" t="s">
        <v>16</v>
      </c>
      <c r="F784" s="45">
        <v>1655</v>
      </c>
      <c r="G784" s="6" t="s">
        <v>15</v>
      </c>
      <c r="H784" s="6"/>
      <c r="I784" s="16" t="s">
        <v>83</v>
      </c>
    </row>
    <row r="785" spans="1:9" x14ac:dyDescent="0.25">
      <c r="A785" s="6" t="s">
        <v>33</v>
      </c>
      <c r="B785" s="5">
        <v>45730</v>
      </c>
      <c r="C785" s="6" t="s">
        <v>1107</v>
      </c>
      <c r="D785" s="6" t="s">
        <v>1108</v>
      </c>
      <c r="E785" s="6" t="s">
        <v>16</v>
      </c>
      <c r="F785" s="45">
        <v>5642.2413793103451</v>
      </c>
      <c r="G785" s="6" t="s">
        <v>15</v>
      </c>
      <c r="H785" s="6"/>
      <c r="I785" s="16" t="s">
        <v>83</v>
      </c>
    </row>
    <row r="786" spans="1:9" x14ac:dyDescent="0.25">
      <c r="A786" s="6" t="s">
        <v>33</v>
      </c>
      <c r="B786" s="5">
        <v>45731</v>
      </c>
      <c r="C786" s="6" t="s">
        <v>1109</v>
      </c>
      <c r="D786" s="6" t="s">
        <v>1092</v>
      </c>
      <c r="E786" s="6" t="s">
        <v>18</v>
      </c>
      <c r="F786" s="45">
        <v>905.17241379310349</v>
      </c>
      <c r="G786" s="6" t="s">
        <v>15</v>
      </c>
      <c r="H786" s="6"/>
      <c r="I786" s="16" t="s">
        <v>83</v>
      </c>
    </row>
    <row r="787" spans="1:9" x14ac:dyDescent="0.25">
      <c r="A787" s="6" t="s">
        <v>33</v>
      </c>
      <c r="B787" s="5">
        <v>45731</v>
      </c>
      <c r="C787" s="6" t="s">
        <v>1110</v>
      </c>
      <c r="D787" s="6" t="s">
        <v>14</v>
      </c>
      <c r="E787" s="6" t="s">
        <v>10</v>
      </c>
      <c r="F787" s="45">
        <v>172.41379310344828</v>
      </c>
      <c r="G787" s="6" t="s">
        <v>8</v>
      </c>
      <c r="H787" s="6"/>
      <c r="I787" s="16" t="s">
        <v>83</v>
      </c>
    </row>
    <row r="788" spans="1:9" x14ac:dyDescent="0.25">
      <c r="A788" s="6" t="s">
        <v>33</v>
      </c>
      <c r="B788" s="5">
        <v>45734</v>
      </c>
      <c r="C788" s="6" t="s">
        <v>1111</v>
      </c>
      <c r="D788" s="6" t="s">
        <v>30</v>
      </c>
      <c r="E788" s="6"/>
      <c r="F788" s="45">
        <v>0</v>
      </c>
      <c r="G788" s="6"/>
      <c r="H788" s="6"/>
      <c r="I788" s="16" t="s">
        <v>83</v>
      </c>
    </row>
    <row r="789" spans="1:9" x14ac:dyDescent="0.25">
      <c r="A789" s="6" t="s">
        <v>33</v>
      </c>
      <c r="B789" s="5">
        <v>45734</v>
      </c>
      <c r="C789" s="6" t="s">
        <v>1112</v>
      </c>
      <c r="D789" s="6" t="s">
        <v>14</v>
      </c>
      <c r="E789" s="6" t="s">
        <v>18</v>
      </c>
      <c r="F789" s="45">
        <v>258.62068965517244</v>
      </c>
      <c r="G789" s="6" t="s">
        <v>15</v>
      </c>
      <c r="H789" s="6"/>
      <c r="I789" s="16" t="s">
        <v>83</v>
      </c>
    </row>
    <row r="790" spans="1:9" x14ac:dyDescent="0.25">
      <c r="A790" s="6" t="s">
        <v>33</v>
      </c>
      <c r="B790" s="5">
        <v>45736</v>
      </c>
      <c r="C790" s="6" t="s">
        <v>1113</v>
      </c>
      <c r="D790" s="6" t="s">
        <v>1114</v>
      </c>
      <c r="E790" s="6" t="s">
        <v>23</v>
      </c>
      <c r="F790" s="45">
        <v>17550</v>
      </c>
      <c r="G790" s="6" t="s">
        <v>968</v>
      </c>
      <c r="H790" s="6" t="s">
        <v>1115</v>
      </c>
      <c r="I790" s="16" t="s">
        <v>83</v>
      </c>
    </row>
    <row r="791" spans="1:9" x14ac:dyDescent="0.25">
      <c r="A791" s="6" t="s">
        <v>33</v>
      </c>
      <c r="B791" s="5">
        <v>45736</v>
      </c>
      <c r="C791" s="6" t="s">
        <v>1116</v>
      </c>
      <c r="D791" s="6" t="s">
        <v>1117</v>
      </c>
      <c r="E791" s="6" t="s">
        <v>16</v>
      </c>
      <c r="F791" s="45">
        <v>940.00000000000011</v>
      </c>
      <c r="G791" s="6" t="s">
        <v>15</v>
      </c>
      <c r="H791" s="6"/>
      <c r="I791" s="16" t="s">
        <v>83</v>
      </c>
    </row>
    <row r="792" spans="1:9" x14ac:dyDescent="0.25">
      <c r="A792" s="6" t="s">
        <v>33</v>
      </c>
      <c r="B792" s="5">
        <v>45736</v>
      </c>
      <c r="C792" s="6" t="s">
        <v>1118</v>
      </c>
      <c r="D792" s="6" t="s">
        <v>22</v>
      </c>
      <c r="E792" s="6" t="s">
        <v>18</v>
      </c>
      <c r="F792" s="45">
        <v>378.00000000000006</v>
      </c>
      <c r="G792" s="6" t="s">
        <v>34</v>
      </c>
      <c r="H792" s="6"/>
      <c r="I792" s="16" t="s">
        <v>83</v>
      </c>
    </row>
    <row r="793" spans="1:9" x14ac:dyDescent="0.25">
      <c r="A793" s="6" t="s">
        <v>33</v>
      </c>
      <c r="B793" s="5">
        <v>45736</v>
      </c>
      <c r="C793" s="6" t="s">
        <v>1119</v>
      </c>
      <c r="D793" s="6" t="s">
        <v>1120</v>
      </c>
      <c r="E793" s="6" t="s">
        <v>10</v>
      </c>
      <c r="F793" s="45">
        <v>899</v>
      </c>
      <c r="G793" s="6" t="s">
        <v>8</v>
      </c>
      <c r="H793" s="6"/>
      <c r="I793" s="16" t="s">
        <v>83</v>
      </c>
    </row>
    <row r="794" spans="1:9" x14ac:dyDescent="0.25">
      <c r="A794" s="6" t="s">
        <v>33</v>
      </c>
      <c r="B794" s="5">
        <v>45736</v>
      </c>
      <c r="C794" s="6" t="s">
        <v>1121</v>
      </c>
      <c r="D794" s="6" t="s">
        <v>1122</v>
      </c>
      <c r="E794" s="6" t="s">
        <v>10</v>
      </c>
      <c r="F794" s="45">
        <v>862.06896551724139</v>
      </c>
      <c r="G794" s="6" t="s">
        <v>8</v>
      </c>
      <c r="H794" s="6"/>
      <c r="I794" s="16" t="s">
        <v>83</v>
      </c>
    </row>
    <row r="795" spans="1:9" x14ac:dyDescent="0.25">
      <c r="A795" s="6" t="s">
        <v>33</v>
      </c>
      <c r="B795" s="5">
        <v>45737</v>
      </c>
      <c r="C795" s="6" t="s">
        <v>1123</v>
      </c>
      <c r="D795" s="6" t="s">
        <v>14</v>
      </c>
      <c r="E795" s="6" t="s">
        <v>10</v>
      </c>
      <c r="F795" s="45">
        <v>206.89655172413794</v>
      </c>
      <c r="G795" s="6" t="s">
        <v>8</v>
      </c>
      <c r="H795" s="6"/>
      <c r="I795" s="16" t="s">
        <v>83</v>
      </c>
    </row>
    <row r="796" spans="1:9" x14ac:dyDescent="0.25">
      <c r="A796" s="6" t="s">
        <v>33</v>
      </c>
      <c r="B796" s="5">
        <v>45737</v>
      </c>
      <c r="C796" s="6" t="s">
        <v>1124</v>
      </c>
      <c r="D796" s="6" t="s">
        <v>22</v>
      </c>
      <c r="E796" s="6" t="s">
        <v>10</v>
      </c>
      <c r="F796" s="45">
        <v>3789</v>
      </c>
      <c r="G796" s="6" t="s">
        <v>34</v>
      </c>
      <c r="H796" s="6"/>
      <c r="I796" s="16" t="s">
        <v>83</v>
      </c>
    </row>
    <row r="797" spans="1:9" x14ac:dyDescent="0.25">
      <c r="A797" s="6" t="s">
        <v>33</v>
      </c>
      <c r="B797" s="5">
        <v>45737</v>
      </c>
      <c r="C797" s="6" t="s">
        <v>1125</v>
      </c>
      <c r="D797" s="6" t="s">
        <v>14</v>
      </c>
      <c r="E797" s="6" t="s">
        <v>10</v>
      </c>
      <c r="F797" s="45">
        <v>396.55172413793105</v>
      </c>
      <c r="G797" s="6" t="s">
        <v>8</v>
      </c>
      <c r="H797" s="6"/>
      <c r="I797" s="16" t="s">
        <v>83</v>
      </c>
    </row>
    <row r="798" spans="1:9" x14ac:dyDescent="0.25">
      <c r="A798" s="6" t="s">
        <v>33</v>
      </c>
      <c r="B798" s="5">
        <v>45737</v>
      </c>
      <c r="C798" s="6" t="s">
        <v>1126</v>
      </c>
      <c r="D798" s="6" t="s">
        <v>14</v>
      </c>
      <c r="E798" s="6" t="s">
        <v>16</v>
      </c>
      <c r="F798" s="45">
        <v>3306.0000000000005</v>
      </c>
      <c r="G798" s="6" t="s">
        <v>15</v>
      </c>
      <c r="H798" s="6"/>
      <c r="I798" s="16" t="s">
        <v>83</v>
      </c>
    </row>
    <row r="799" spans="1:9" x14ac:dyDescent="0.25">
      <c r="A799" s="6" t="s">
        <v>33</v>
      </c>
      <c r="B799" s="5">
        <v>45737</v>
      </c>
      <c r="C799" s="6" t="s">
        <v>1127</v>
      </c>
      <c r="D799" s="6" t="s">
        <v>14</v>
      </c>
      <c r="E799" s="6" t="s">
        <v>16</v>
      </c>
      <c r="F799" s="45">
        <v>6399.0000000000009</v>
      </c>
      <c r="G799" s="6" t="s">
        <v>15</v>
      </c>
      <c r="H799" s="6"/>
      <c r="I799" s="16" t="s">
        <v>83</v>
      </c>
    </row>
    <row r="800" spans="1:9" x14ac:dyDescent="0.25">
      <c r="A800" s="6" t="s">
        <v>33</v>
      </c>
      <c r="B800" s="5">
        <v>45737</v>
      </c>
      <c r="C800" s="6" t="s">
        <v>1128</v>
      </c>
      <c r="D800" s="6" t="s">
        <v>14</v>
      </c>
      <c r="E800" s="6" t="s">
        <v>10</v>
      </c>
      <c r="F800" s="45">
        <v>172.41379310344828</v>
      </c>
      <c r="G800" s="6" t="s">
        <v>8</v>
      </c>
      <c r="H800" s="6"/>
      <c r="I800" s="16" t="s">
        <v>83</v>
      </c>
    </row>
    <row r="801" spans="1:9" x14ac:dyDescent="0.25">
      <c r="A801" s="6" t="s">
        <v>33</v>
      </c>
      <c r="B801" s="5">
        <v>45741</v>
      </c>
      <c r="C801" s="6" t="s">
        <v>1129</v>
      </c>
      <c r="D801" s="6" t="s">
        <v>1130</v>
      </c>
      <c r="E801" s="6" t="s">
        <v>16</v>
      </c>
      <c r="F801" s="45">
        <v>1736</v>
      </c>
      <c r="G801" s="6" t="s">
        <v>15</v>
      </c>
      <c r="H801" s="6"/>
      <c r="I801" s="16" t="s">
        <v>83</v>
      </c>
    </row>
    <row r="802" spans="1:9" x14ac:dyDescent="0.25">
      <c r="A802" s="6" t="s">
        <v>33</v>
      </c>
      <c r="B802" s="5">
        <v>45741</v>
      </c>
      <c r="C802" s="6" t="s">
        <v>1131</v>
      </c>
      <c r="D802" s="7" t="s">
        <v>22</v>
      </c>
      <c r="E802" s="6"/>
      <c r="F802" s="45">
        <v>0</v>
      </c>
      <c r="G802" s="7"/>
      <c r="H802" s="6"/>
      <c r="I802" s="16" t="s">
        <v>83</v>
      </c>
    </row>
    <row r="803" spans="1:9" x14ac:dyDescent="0.25">
      <c r="A803" s="6" t="s">
        <v>33</v>
      </c>
      <c r="B803" s="5">
        <v>45741</v>
      </c>
      <c r="C803" s="6" t="s">
        <v>1132</v>
      </c>
      <c r="D803" s="6" t="s">
        <v>14</v>
      </c>
      <c r="E803" s="6" t="s">
        <v>16</v>
      </c>
      <c r="F803" s="45">
        <v>3332</v>
      </c>
      <c r="G803" s="6" t="s">
        <v>15</v>
      </c>
      <c r="H803" s="6"/>
      <c r="I803" s="16" t="s">
        <v>83</v>
      </c>
    </row>
    <row r="804" spans="1:9" x14ac:dyDescent="0.25">
      <c r="A804" s="6" t="s">
        <v>33</v>
      </c>
      <c r="B804" s="5">
        <v>45741</v>
      </c>
      <c r="C804" s="6" t="s">
        <v>1133</v>
      </c>
      <c r="D804" s="6" t="s">
        <v>14</v>
      </c>
      <c r="E804" s="6" t="s">
        <v>16</v>
      </c>
      <c r="F804" s="45">
        <v>1052</v>
      </c>
      <c r="G804" s="6" t="s">
        <v>15</v>
      </c>
      <c r="H804" s="6"/>
      <c r="I804" s="16" t="s">
        <v>83</v>
      </c>
    </row>
    <row r="805" spans="1:9" x14ac:dyDescent="0.25">
      <c r="A805" s="6" t="s">
        <v>33</v>
      </c>
      <c r="B805" s="5">
        <v>45741</v>
      </c>
      <c r="C805" s="6" t="s">
        <v>1134</v>
      </c>
      <c r="D805" s="6" t="s">
        <v>35</v>
      </c>
      <c r="E805" s="6" t="s">
        <v>23</v>
      </c>
      <c r="F805" s="45">
        <v>385200</v>
      </c>
      <c r="G805" s="6" t="s">
        <v>13</v>
      </c>
      <c r="H805" s="6" t="s">
        <v>1135</v>
      </c>
      <c r="I805" s="16" t="s">
        <v>83</v>
      </c>
    </row>
    <row r="806" spans="1:9" x14ac:dyDescent="0.25">
      <c r="A806" s="6" t="s">
        <v>33</v>
      </c>
      <c r="B806" s="5">
        <v>45742</v>
      </c>
      <c r="C806" s="6" t="s">
        <v>1136</v>
      </c>
      <c r="D806" s="6" t="s">
        <v>14</v>
      </c>
      <c r="E806" s="6" t="s">
        <v>18</v>
      </c>
      <c r="F806" s="45">
        <v>586.20689655172418</v>
      </c>
      <c r="G806" s="6" t="s">
        <v>8</v>
      </c>
      <c r="H806" s="6"/>
      <c r="I806" s="16" t="s">
        <v>83</v>
      </c>
    </row>
    <row r="807" spans="1:9" x14ac:dyDescent="0.25">
      <c r="A807" s="6" t="s">
        <v>33</v>
      </c>
      <c r="B807" s="5">
        <v>45742</v>
      </c>
      <c r="C807" s="6" t="s">
        <v>1137</v>
      </c>
      <c r="D807" s="6" t="s">
        <v>14</v>
      </c>
      <c r="E807" s="6" t="s">
        <v>16</v>
      </c>
      <c r="F807" s="45">
        <v>1631.0000000000002</v>
      </c>
      <c r="G807" s="6" t="s">
        <v>15</v>
      </c>
      <c r="H807" s="6"/>
      <c r="I807" s="16" t="s">
        <v>83</v>
      </c>
    </row>
    <row r="808" spans="1:9" x14ac:dyDescent="0.25">
      <c r="A808" s="6" t="s">
        <v>33</v>
      </c>
      <c r="B808" s="5">
        <v>45744</v>
      </c>
      <c r="C808" s="6" t="s">
        <v>1138</v>
      </c>
      <c r="D808" s="6" t="s">
        <v>1139</v>
      </c>
      <c r="E808" s="6" t="s">
        <v>20</v>
      </c>
      <c r="F808" s="45">
        <v>5431.0344827586214</v>
      </c>
      <c r="G808" s="6" t="s">
        <v>8</v>
      </c>
      <c r="H808" s="6" t="s">
        <v>37</v>
      </c>
      <c r="I808" s="16" t="s">
        <v>83</v>
      </c>
    </row>
    <row r="809" spans="1:9" x14ac:dyDescent="0.25">
      <c r="A809" s="6" t="s">
        <v>33</v>
      </c>
      <c r="B809" s="5">
        <v>45744</v>
      </c>
      <c r="C809" s="6" t="s">
        <v>1140</v>
      </c>
      <c r="D809" s="6" t="s">
        <v>967</v>
      </c>
      <c r="E809" s="6" t="s">
        <v>18</v>
      </c>
      <c r="F809" s="45">
        <v>32514</v>
      </c>
      <c r="G809" s="6" t="s">
        <v>968</v>
      </c>
      <c r="H809" s="6"/>
      <c r="I809" s="16" t="s">
        <v>83</v>
      </c>
    </row>
    <row r="810" spans="1:9" x14ac:dyDescent="0.25">
      <c r="A810" s="6" t="s">
        <v>33</v>
      </c>
      <c r="B810" s="5">
        <v>45745</v>
      </c>
      <c r="C810" s="6" t="s">
        <v>1141</v>
      </c>
      <c r="D810" s="6" t="s">
        <v>1142</v>
      </c>
      <c r="E810" s="6" t="s">
        <v>23</v>
      </c>
      <c r="F810" s="45">
        <v>13816</v>
      </c>
      <c r="G810" s="6" t="s">
        <v>13</v>
      </c>
      <c r="H810" s="6" t="s">
        <v>1143</v>
      </c>
      <c r="I810" s="16" t="s">
        <v>83</v>
      </c>
    </row>
    <row r="811" spans="1:9" x14ac:dyDescent="0.25">
      <c r="A811" s="6" t="s">
        <v>33</v>
      </c>
      <c r="B811" s="5">
        <v>45745</v>
      </c>
      <c r="C811" s="6" t="s">
        <v>1144</v>
      </c>
      <c r="D811" s="6" t="s">
        <v>1145</v>
      </c>
      <c r="E811" s="6" t="s">
        <v>23</v>
      </c>
      <c r="F811" s="45">
        <v>22484</v>
      </c>
      <c r="G811" s="6" t="s">
        <v>13</v>
      </c>
      <c r="H811" s="6" t="s">
        <v>1146</v>
      </c>
      <c r="I811" s="16" t="s">
        <v>83</v>
      </c>
    </row>
    <row r="812" spans="1:9" x14ac:dyDescent="0.25">
      <c r="A812" s="6" t="s">
        <v>33</v>
      </c>
      <c r="B812" s="5">
        <v>45745</v>
      </c>
      <c r="C812" s="6" t="s">
        <v>1147</v>
      </c>
      <c r="D812" s="6" t="s">
        <v>14</v>
      </c>
      <c r="E812" s="6" t="s">
        <v>16</v>
      </c>
      <c r="F812" s="45">
        <v>850.00000000000011</v>
      </c>
      <c r="G812" s="6" t="s">
        <v>15</v>
      </c>
      <c r="H812" s="6"/>
      <c r="I812" s="16" t="s">
        <v>83</v>
      </c>
    </row>
    <row r="813" spans="1:9" x14ac:dyDescent="0.25">
      <c r="A813" s="6" t="s">
        <v>33</v>
      </c>
      <c r="B813" s="5">
        <v>45745</v>
      </c>
      <c r="C813" s="6" t="s">
        <v>1148</v>
      </c>
      <c r="D813" s="6" t="s">
        <v>1149</v>
      </c>
      <c r="E813" s="6" t="s">
        <v>16</v>
      </c>
      <c r="F813" s="45">
        <v>2187</v>
      </c>
      <c r="G813" s="6" t="s">
        <v>15</v>
      </c>
      <c r="H813" s="6"/>
      <c r="I813" s="16" t="s">
        <v>83</v>
      </c>
    </row>
    <row r="814" spans="1:9" x14ac:dyDescent="0.25">
      <c r="A814" s="6" t="s">
        <v>33</v>
      </c>
      <c r="B814" s="5"/>
      <c r="C814" s="6" t="s">
        <v>1150</v>
      </c>
      <c r="D814" s="6" t="s">
        <v>30</v>
      </c>
      <c r="E814" s="6"/>
      <c r="F814" s="45">
        <v>0</v>
      </c>
      <c r="G814" s="6"/>
      <c r="H814" s="6"/>
      <c r="I814" s="16" t="s">
        <v>83</v>
      </c>
    </row>
    <row r="815" spans="1:9" x14ac:dyDescent="0.25">
      <c r="A815" s="6" t="s">
        <v>33</v>
      </c>
      <c r="B815" s="5">
        <v>45747</v>
      </c>
      <c r="C815" s="6" t="s">
        <v>1151</v>
      </c>
      <c r="D815" s="6" t="s">
        <v>14</v>
      </c>
      <c r="E815" s="6" t="s">
        <v>11</v>
      </c>
      <c r="F815" s="45">
        <v>258.62068965517244</v>
      </c>
      <c r="G815" s="6" t="s">
        <v>15</v>
      </c>
      <c r="H815" s="6"/>
      <c r="I815" s="16" t="s">
        <v>83</v>
      </c>
    </row>
    <row r="816" spans="1:9" x14ac:dyDescent="0.25">
      <c r="A816" s="6" t="s">
        <v>33</v>
      </c>
      <c r="B816" s="5">
        <v>45747</v>
      </c>
      <c r="C816" s="6" t="s">
        <v>1152</v>
      </c>
      <c r="D816" s="6" t="s">
        <v>14</v>
      </c>
      <c r="E816" s="6" t="s">
        <v>10</v>
      </c>
      <c r="F816" s="45">
        <v>129.31034482758622</v>
      </c>
      <c r="G816" s="6" t="s">
        <v>8</v>
      </c>
      <c r="H816" s="6"/>
      <c r="I816" s="16" t="s">
        <v>83</v>
      </c>
    </row>
    <row r="817" spans="1:9" x14ac:dyDescent="0.25">
      <c r="A817" s="6" t="s">
        <v>33</v>
      </c>
      <c r="B817" s="5">
        <v>45747</v>
      </c>
      <c r="C817" s="6" t="s">
        <v>1153</v>
      </c>
      <c r="D817" s="6" t="s">
        <v>1154</v>
      </c>
      <c r="E817" s="6" t="s">
        <v>16</v>
      </c>
      <c r="F817" s="45">
        <v>5094</v>
      </c>
      <c r="G817" s="6" t="s">
        <v>15</v>
      </c>
      <c r="H817" s="6"/>
      <c r="I817" s="16" t="s">
        <v>83</v>
      </c>
    </row>
    <row r="818" spans="1:9" x14ac:dyDescent="0.25">
      <c r="A818" s="6" t="s">
        <v>33</v>
      </c>
      <c r="B818" s="5">
        <v>45748</v>
      </c>
      <c r="C818" s="6" t="s">
        <v>1155</v>
      </c>
      <c r="D818" s="6" t="s">
        <v>30</v>
      </c>
      <c r="E818" s="6"/>
      <c r="F818" s="45">
        <v>0</v>
      </c>
      <c r="G818" s="6"/>
      <c r="H818" s="6"/>
      <c r="I818" s="16" t="s">
        <v>83</v>
      </c>
    </row>
    <row r="819" spans="1:9" x14ac:dyDescent="0.25">
      <c r="A819" s="6" t="s">
        <v>33</v>
      </c>
      <c r="B819" s="5">
        <v>45748</v>
      </c>
      <c r="C819" s="6" t="s">
        <v>1156</v>
      </c>
      <c r="D819" s="6" t="s">
        <v>35</v>
      </c>
      <c r="E819" s="6" t="s">
        <v>23</v>
      </c>
      <c r="F819" s="45">
        <v>15300.000000000002</v>
      </c>
      <c r="G819" s="6" t="s">
        <v>13</v>
      </c>
      <c r="H819" s="6" t="s">
        <v>1157</v>
      </c>
      <c r="I819" s="16" t="s">
        <v>83</v>
      </c>
    </row>
    <row r="820" spans="1:9" x14ac:dyDescent="0.25">
      <c r="A820" s="6" t="s">
        <v>33</v>
      </c>
      <c r="B820" s="5">
        <v>45748</v>
      </c>
      <c r="C820" s="6" t="s">
        <v>1158</v>
      </c>
      <c r="D820" s="6" t="s">
        <v>38</v>
      </c>
      <c r="E820" s="6" t="s">
        <v>16</v>
      </c>
      <c r="F820" s="45">
        <v>5799.0000000000009</v>
      </c>
      <c r="G820" s="6" t="s">
        <v>13</v>
      </c>
      <c r="H820" s="6"/>
      <c r="I820" s="16" t="s">
        <v>83</v>
      </c>
    </row>
    <row r="821" spans="1:9" x14ac:dyDescent="0.25">
      <c r="A821" s="6" t="s">
        <v>33</v>
      </c>
      <c r="B821" s="5">
        <v>45749</v>
      </c>
      <c r="C821" s="6" t="s">
        <v>1159</v>
      </c>
      <c r="D821" s="6" t="s">
        <v>1160</v>
      </c>
      <c r="E821" s="6" t="s">
        <v>23</v>
      </c>
      <c r="F821" s="45">
        <v>22526</v>
      </c>
      <c r="G821" s="6" t="s">
        <v>13</v>
      </c>
      <c r="H821" s="6" t="s">
        <v>39</v>
      </c>
      <c r="I821" s="16" t="s">
        <v>83</v>
      </c>
    </row>
    <row r="822" spans="1:9" x14ac:dyDescent="0.25">
      <c r="A822" s="6" t="s">
        <v>33</v>
      </c>
      <c r="B822" s="5">
        <v>45749</v>
      </c>
      <c r="C822" s="6" t="s">
        <v>1161</v>
      </c>
      <c r="D822" s="6" t="s">
        <v>1162</v>
      </c>
      <c r="E822" s="6" t="s">
        <v>16</v>
      </c>
      <c r="F822" s="45">
        <v>2791.3793103448279</v>
      </c>
      <c r="G822" s="6" t="s">
        <v>15</v>
      </c>
      <c r="H822" s="6"/>
      <c r="I822" s="16" t="s">
        <v>83</v>
      </c>
    </row>
    <row r="823" spans="1:9" x14ac:dyDescent="0.25">
      <c r="A823" s="6" t="s">
        <v>33</v>
      </c>
      <c r="B823" s="5">
        <v>45749</v>
      </c>
      <c r="C823" s="6" t="s">
        <v>1163</v>
      </c>
      <c r="D823" s="6" t="s">
        <v>1164</v>
      </c>
      <c r="E823" s="6" t="s">
        <v>16</v>
      </c>
      <c r="F823" s="45">
        <v>3214</v>
      </c>
      <c r="G823" s="6" t="s">
        <v>15</v>
      </c>
      <c r="H823" s="6"/>
      <c r="I823" s="16" t="s">
        <v>83</v>
      </c>
    </row>
    <row r="824" spans="1:9" x14ac:dyDescent="0.25">
      <c r="A824" s="6" t="s">
        <v>33</v>
      </c>
      <c r="B824" s="5">
        <v>45749</v>
      </c>
      <c r="C824" s="6" t="s">
        <v>1165</v>
      </c>
      <c r="D824" s="6" t="s">
        <v>1166</v>
      </c>
      <c r="E824" s="6" t="s">
        <v>10</v>
      </c>
      <c r="F824" s="45">
        <v>344.82758620689657</v>
      </c>
      <c r="G824" s="6" t="s">
        <v>8</v>
      </c>
      <c r="H824" s="6"/>
      <c r="I824" s="16" t="s">
        <v>83</v>
      </c>
    </row>
    <row r="825" spans="1:9" x14ac:dyDescent="0.25">
      <c r="A825" s="6" t="s">
        <v>33</v>
      </c>
      <c r="B825" s="5">
        <v>45749</v>
      </c>
      <c r="C825" s="6" t="s">
        <v>1167</v>
      </c>
      <c r="D825" s="6" t="s">
        <v>14</v>
      </c>
      <c r="E825" s="6" t="s">
        <v>16</v>
      </c>
      <c r="F825" s="45">
        <v>1736</v>
      </c>
      <c r="G825" s="6" t="s">
        <v>15</v>
      </c>
      <c r="H825" s="6"/>
      <c r="I825" s="16" t="s">
        <v>83</v>
      </c>
    </row>
    <row r="826" spans="1:9" x14ac:dyDescent="0.25">
      <c r="A826" s="6" t="s">
        <v>33</v>
      </c>
      <c r="B826" s="5">
        <v>45750</v>
      </c>
      <c r="C826" s="6" t="s">
        <v>1168</v>
      </c>
      <c r="D826" s="6" t="s">
        <v>1169</v>
      </c>
      <c r="E826" s="6" t="s">
        <v>18</v>
      </c>
      <c r="F826" s="45">
        <v>7164</v>
      </c>
      <c r="G826" s="6" t="s">
        <v>34</v>
      </c>
      <c r="H826" s="6"/>
      <c r="I826" s="16" t="s">
        <v>83</v>
      </c>
    </row>
    <row r="827" spans="1:9" x14ac:dyDescent="0.25">
      <c r="A827" s="6" t="s">
        <v>33</v>
      </c>
      <c r="B827" s="5">
        <v>45751</v>
      </c>
      <c r="C827" s="6" t="s">
        <v>1170</v>
      </c>
      <c r="D827" s="6" t="s">
        <v>1087</v>
      </c>
      <c r="E827" s="6" t="s">
        <v>20</v>
      </c>
      <c r="F827" s="45">
        <v>2899.0000000000005</v>
      </c>
      <c r="G827" s="6" t="s">
        <v>968</v>
      </c>
      <c r="H827" s="6" t="s">
        <v>1171</v>
      </c>
      <c r="I827" s="16" t="s">
        <v>83</v>
      </c>
    </row>
    <row r="828" spans="1:9" x14ac:dyDescent="0.25">
      <c r="A828" s="6" t="s">
        <v>33</v>
      </c>
      <c r="B828" s="5"/>
      <c r="C828" s="6" t="s">
        <v>1172</v>
      </c>
      <c r="D828" s="6" t="s">
        <v>30</v>
      </c>
      <c r="E828" s="6"/>
      <c r="F828" s="45">
        <v>0</v>
      </c>
      <c r="G828" s="6"/>
      <c r="H828" s="6"/>
      <c r="I828" s="16" t="s">
        <v>83</v>
      </c>
    </row>
    <row r="829" spans="1:9" x14ac:dyDescent="0.25">
      <c r="A829" s="6" t="s">
        <v>33</v>
      </c>
      <c r="B829" s="5">
        <v>45751</v>
      </c>
      <c r="C829" s="6" t="s">
        <v>1173</v>
      </c>
      <c r="D829" s="6" t="s">
        <v>1174</v>
      </c>
      <c r="E829" s="6" t="s">
        <v>18</v>
      </c>
      <c r="F829" s="45">
        <v>1368.0000000000002</v>
      </c>
      <c r="G829" s="6" t="s">
        <v>968</v>
      </c>
      <c r="H829" s="6"/>
      <c r="I829" s="16" t="s">
        <v>83</v>
      </c>
    </row>
    <row r="830" spans="1:9" x14ac:dyDescent="0.25">
      <c r="A830" s="6" t="s">
        <v>33</v>
      </c>
      <c r="B830" s="5">
        <v>45751</v>
      </c>
      <c r="C830" s="6" t="s">
        <v>1175</v>
      </c>
      <c r="D830" s="6" t="s">
        <v>1176</v>
      </c>
      <c r="E830" s="6" t="s">
        <v>23</v>
      </c>
      <c r="F830" s="45">
        <v>78300</v>
      </c>
      <c r="G830" s="6" t="s">
        <v>34</v>
      </c>
      <c r="H830" s="6" t="s">
        <v>1177</v>
      </c>
      <c r="I830" s="16" t="s">
        <v>83</v>
      </c>
    </row>
    <row r="831" spans="1:9" x14ac:dyDescent="0.25">
      <c r="A831" s="6" t="s">
        <v>33</v>
      </c>
      <c r="B831" s="5">
        <v>45751</v>
      </c>
      <c r="C831" s="6" t="s">
        <v>1178</v>
      </c>
      <c r="D831" s="6" t="s">
        <v>40</v>
      </c>
      <c r="E831" s="6" t="s">
        <v>16</v>
      </c>
      <c r="F831" s="45">
        <v>3841.0000000000005</v>
      </c>
      <c r="G831" s="6" t="s">
        <v>15</v>
      </c>
      <c r="H831" s="6"/>
      <c r="I831" s="16" t="s">
        <v>83</v>
      </c>
    </row>
    <row r="832" spans="1:9" x14ac:dyDescent="0.25">
      <c r="A832" s="6" t="s">
        <v>33</v>
      </c>
      <c r="B832" s="5">
        <v>45752</v>
      </c>
      <c r="C832" s="6" t="s">
        <v>1179</v>
      </c>
      <c r="D832" s="7" t="s">
        <v>41</v>
      </c>
      <c r="E832" s="6" t="s">
        <v>1180</v>
      </c>
      <c r="F832" s="45">
        <v>3793.1120689655177</v>
      </c>
      <c r="G832" s="7" t="s">
        <v>8</v>
      </c>
      <c r="H832" s="6" t="s">
        <v>1181</v>
      </c>
      <c r="I832" s="16" t="s">
        <v>83</v>
      </c>
    </row>
    <row r="833" spans="1:9" x14ac:dyDescent="0.25">
      <c r="A833" s="6" t="s">
        <v>33</v>
      </c>
      <c r="B833" s="5">
        <v>45752</v>
      </c>
      <c r="C833" s="6" t="s">
        <v>1182</v>
      </c>
      <c r="D833" s="6" t="s">
        <v>1169</v>
      </c>
      <c r="E833" s="6"/>
      <c r="F833" s="45">
        <v>0</v>
      </c>
      <c r="G833" s="6"/>
      <c r="H833" s="6"/>
      <c r="I833" s="16" t="s">
        <v>83</v>
      </c>
    </row>
    <row r="834" spans="1:9" x14ac:dyDescent="0.25">
      <c r="A834" s="6" t="s">
        <v>33</v>
      </c>
      <c r="B834" s="5">
        <v>45754</v>
      </c>
      <c r="C834" s="6" t="s">
        <v>1183</v>
      </c>
      <c r="D834" s="6" t="s">
        <v>1169</v>
      </c>
      <c r="E834" s="6" t="s">
        <v>10</v>
      </c>
      <c r="F834" s="45">
        <v>693</v>
      </c>
      <c r="G834" s="6" t="s">
        <v>34</v>
      </c>
      <c r="H834" s="6"/>
      <c r="I834" s="16" t="s">
        <v>83</v>
      </c>
    </row>
    <row r="835" spans="1:9" x14ac:dyDescent="0.25">
      <c r="A835" s="6" t="s">
        <v>33</v>
      </c>
      <c r="B835" s="5">
        <v>45754</v>
      </c>
      <c r="C835" s="6" t="s">
        <v>1184</v>
      </c>
      <c r="D835" s="6" t="s">
        <v>1185</v>
      </c>
      <c r="E835" s="6" t="s">
        <v>20</v>
      </c>
      <c r="F835" s="45">
        <v>1379.3103448275863</v>
      </c>
      <c r="G835" s="6" t="s">
        <v>8</v>
      </c>
      <c r="H835" s="6" t="s">
        <v>1186</v>
      </c>
      <c r="I835" s="16" t="s">
        <v>83</v>
      </c>
    </row>
    <row r="836" spans="1:9" x14ac:dyDescent="0.25">
      <c r="A836" s="6" t="s">
        <v>33</v>
      </c>
      <c r="B836" s="5">
        <v>45754</v>
      </c>
      <c r="C836" s="6" t="s">
        <v>1187</v>
      </c>
      <c r="D836" s="6" t="s">
        <v>42</v>
      </c>
      <c r="E836" s="6" t="s">
        <v>10</v>
      </c>
      <c r="F836" s="45">
        <v>965.51724137931046</v>
      </c>
      <c r="G836" s="6" t="s">
        <v>8</v>
      </c>
      <c r="H836" s="6"/>
      <c r="I836" s="16" t="s">
        <v>83</v>
      </c>
    </row>
    <row r="837" spans="1:9" x14ac:dyDescent="0.25">
      <c r="A837" s="6" t="s">
        <v>33</v>
      </c>
      <c r="B837" s="5">
        <v>45755</v>
      </c>
      <c r="C837" s="6" t="s">
        <v>1188</v>
      </c>
      <c r="D837" s="6" t="s">
        <v>1087</v>
      </c>
      <c r="E837" s="6" t="s">
        <v>10</v>
      </c>
      <c r="F837" s="45">
        <v>1548.0000000000002</v>
      </c>
      <c r="G837" s="6" t="s">
        <v>968</v>
      </c>
      <c r="H837" s="6"/>
      <c r="I837" s="16" t="s">
        <v>83</v>
      </c>
    </row>
    <row r="838" spans="1:9" x14ac:dyDescent="0.25">
      <c r="A838" s="6" t="s">
        <v>33</v>
      </c>
      <c r="B838" s="5">
        <v>45755</v>
      </c>
      <c r="C838" s="6" t="s">
        <v>1189</v>
      </c>
      <c r="D838" s="6" t="s">
        <v>1176</v>
      </c>
      <c r="E838" s="6" t="s">
        <v>23</v>
      </c>
      <c r="F838" s="45">
        <v>78300</v>
      </c>
      <c r="G838" s="6" t="s">
        <v>34</v>
      </c>
      <c r="H838" s="6" t="s">
        <v>1177</v>
      </c>
      <c r="I838" s="16" t="s">
        <v>83</v>
      </c>
    </row>
    <row r="839" spans="1:9" x14ac:dyDescent="0.25">
      <c r="A839" s="6" t="s">
        <v>33</v>
      </c>
      <c r="B839" s="5">
        <v>45756</v>
      </c>
      <c r="C839" s="6" t="s">
        <v>1190</v>
      </c>
      <c r="D839" s="6" t="s">
        <v>1185</v>
      </c>
      <c r="E839" s="6" t="s">
        <v>16</v>
      </c>
      <c r="F839" s="45">
        <v>3313</v>
      </c>
      <c r="G839" s="6" t="s">
        <v>15</v>
      </c>
      <c r="H839" s="6"/>
      <c r="I839" s="16" t="s">
        <v>83</v>
      </c>
    </row>
    <row r="840" spans="1:9" x14ac:dyDescent="0.25">
      <c r="A840" s="6" t="s">
        <v>33</v>
      </c>
      <c r="B840" s="5">
        <v>45756</v>
      </c>
      <c r="C840" s="6" t="s">
        <v>1191</v>
      </c>
      <c r="D840" s="6" t="s">
        <v>14</v>
      </c>
      <c r="E840" s="6" t="s">
        <v>16</v>
      </c>
      <c r="F840" s="45">
        <v>1655</v>
      </c>
      <c r="G840" s="6" t="s">
        <v>15</v>
      </c>
      <c r="H840" s="6"/>
      <c r="I840" s="16" t="s">
        <v>83</v>
      </c>
    </row>
    <row r="841" spans="1:9" x14ac:dyDescent="0.25">
      <c r="A841" s="6" t="s">
        <v>33</v>
      </c>
      <c r="B841" s="5">
        <v>45756</v>
      </c>
      <c r="C841" s="6" t="s">
        <v>1192</v>
      </c>
      <c r="D841" s="6" t="s">
        <v>1193</v>
      </c>
      <c r="E841" s="6" t="s">
        <v>16</v>
      </c>
      <c r="F841" s="45">
        <v>1698.2758620689656</v>
      </c>
      <c r="G841" s="6" t="s">
        <v>15</v>
      </c>
      <c r="H841" s="6"/>
      <c r="I841" s="16" t="s">
        <v>83</v>
      </c>
    </row>
    <row r="842" spans="1:9" x14ac:dyDescent="0.25">
      <c r="A842" s="6" t="s">
        <v>33</v>
      </c>
      <c r="B842" s="5">
        <v>45756</v>
      </c>
      <c r="C842" s="6" t="s">
        <v>1194</v>
      </c>
      <c r="D842" s="6" t="s">
        <v>1193</v>
      </c>
      <c r="E842" s="6" t="s">
        <v>9</v>
      </c>
      <c r="F842" s="45">
        <v>258.62068965517244</v>
      </c>
      <c r="G842" s="6" t="s">
        <v>8</v>
      </c>
      <c r="H842" s="6"/>
      <c r="I842" s="16" t="s">
        <v>83</v>
      </c>
    </row>
    <row r="843" spans="1:9" x14ac:dyDescent="0.25">
      <c r="A843" s="6" t="s">
        <v>33</v>
      </c>
      <c r="B843" s="5">
        <v>45756</v>
      </c>
      <c r="C843" s="6" t="s">
        <v>1195</v>
      </c>
      <c r="D843" s="6" t="s">
        <v>14</v>
      </c>
      <c r="E843" s="6" t="s">
        <v>20</v>
      </c>
      <c r="F843" s="45">
        <v>8189.6637931034493</v>
      </c>
      <c r="G843" s="6" t="s">
        <v>8</v>
      </c>
      <c r="H843" s="6" t="s">
        <v>43</v>
      </c>
      <c r="I843" s="16" t="s">
        <v>83</v>
      </c>
    </row>
    <row r="844" spans="1:9" x14ac:dyDescent="0.25">
      <c r="A844" s="6" t="s">
        <v>33</v>
      </c>
      <c r="B844" s="5">
        <v>45757</v>
      </c>
      <c r="C844" s="6" t="s">
        <v>1196</v>
      </c>
      <c r="D844" s="6" t="s">
        <v>14</v>
      </c>
      <c r="E844" s="6" t="s">
        <v>10</v>
      </c>
      <c r="F844" s="45">
        <v>43.103448275862071</v>
      </c>
      <c r="G844" s="6" t="s">
        <v>8</v>
      </c>
      <c r="H844" s="6"/>
      <c r="I844" s="16" t="s">
        <v>83</v>
      </c>
    </row>
    <row r="845" spans="1:9" x14ac:dyDescent="0.25">
      <c r="A845" s="6" t="s">
        <v>33</v>
      </c>
      <c r="B845" s="5">
        <v>45758</v>
      </c>
      <c r="C845" s="6" t="s">
        <v>1197</v>
      </c>
      <c r="D845" s="6" t="s">
        <v>14</v>
      </c>
      <c r="E845" s="6" t="s">
        <v>10</v>
      </c>
      <c r="F845" s="45">
        <v>1465.5172413793105</v>
      </c>
      <c r="G845" s="6" t="s">
        <v>8</v>
      </c>
      <c r="H845" s="6"/>
      <c r="I845" s="16" t="s">
        <v>83</v>
      </c>
    </row>
    <row r="846" spans="1:9" x14ac:dyDescent="0.25">
      <c r="A846" s="6" t="s">
        <v>33</v>
      </c>
      <c r="B846" s="5">
        <v>45758</v>
      </c>
      <c r="C846" s="6" t="s">
        <v>1198</v>
      </c>
      <c r="D846" s="6" t="s">
        <v>35</v>
      </c>
      <c r="E846" s="6" t="s">
        <v>23</v>
      </c>
      <c r="F846" s="45">
        <v>192600</v>
      </c>
      <c r="G846" s="6" t="s">
        <v>13</v>
      </c>
      <c r="H846" s="6" t="s">
        <v>1199</v>
      </c>
      <c r="I846" s="16" t="s">
        <v>83</v>
      </c>
    </row>
    <row r="847" spans="1:9" x14ac:dyDescent="0.25">
      <c r="A847" s="6" t="s">
        <v>33</v>
      </c>
      <c r="B847" s="5">
        <v>45761</v>
      </c>
      <c r="C847" s="6" t="s">
        <v>1200</v>
      </c>
      <c r="D847" s="6" t="s">
        <v>14</v>
      </c>
      <c r="E847" s="6" t="s">
        <v>16</v>
      </c>
      <c r="F847" s="45">
        <v>2760</v>
      </c>
      <c r="G847" s="6" t="s">
        <v>15</v>
      </c>
      <c r="H847" s="6"/>
      <c r="I847" s="16" t="s">
        <v>83</v>
      </c>
    </row>
    <row r="848" spans="1:9" x14ac:dyDescent="0.25">
      <c r="A848" s="6" t="s">
        <v>33</v>
      </c>
      <c r="B848" s="5">
        <v>45761</v>
      </c>
      <c r="C848" s="6" t="s">
        <v>1201</v>
      </c>
      <c r="D848" s="6" t="s">
        <v>1202</v>
      </c>
      <c r="E848" s="6" t="s">
        <v>10</v>
      </c>
      <c r="F848" s="45">
        <v>1465.5172413793105</v>
      </c>
      <c r="G848" s="6" t="s">
        <v>8</v>
      </c>
      <c r="H848" s="6"/>
      <c r="I848" s="16" t="s">
        <v>83</v>
      </c>
    </row>
    <row r="849" spans="1:10" x14ac:dyDescent="0.25">
      <c r="A849" s="6" t="s">
        <v>33</v>
      </c>
      <c r="B849" s="5">
        <v>45761</v>
      </c>
      <c r="C849" s="6" t="s">
        <v>1203</v>
      </c>
      <c r="D849" s="6" t="s">
        <v>1204</v>
      </c>
      <c r="E849" s="6" t="s">
        <v>20</v>
      </c>
      <c r="F849" s="45">
        <v>2999.0000000000005</v>
      </c>
      <c r="G849" s="6" t="s">
        <v>968</v>
      </c>
      <c r="H849" s="6" t="s">
        <v>1205</v>
      </c>
      <c r="I849" s="16" t="s">
        <v>83</v>
      </c>
    </row>
    <row r="850" spans="1:10" x14ac:dyDescent="0.25">
      <c r="A850" s="6" t="s">
        <v>33</v>
      </c>
      <c r="B850" s="5">
        <v>45762</v>
      </c>
      <c r="C850" s="6" t="s">
        <v>1206</v>
      </c>
      <c r="D850" s="6" t="s">
        <v>1059</v>
      </c>
      <c r="E850" s="6" t="s">
        <v>16</v>
      </c>
      <c r="F850" s="45">
        <v>6745</v>
      </c>
      <c r="G850" s="6" t="s">
        <v>15</v>
      </c>
      <c r="H850" s="6"/>
      <c r="I850" s="16" t="s">
        <v>83</v>
      </c>
    </row>
    <row r="851" spans="1:10" x14ac:dyDescent="0.25">
      <c r="A851" s="6" t="s">
        <v>33</v>
      </c>
      <c r="B851" s="5">
        <v>45762</v>
      </c>
      <c r="C851" s="6" t="s">
        <v>1207</v>
      </c>
      <c r="D851" s="6" t="s">
        <v>1059</v>
      </c>
      <c r="E851" s="6" t="s">
        <v>16</v>
      </c>
      <c r="F851" s="45">
        <v>2589.0086206896553</v>
      </c>
      <c r="G851" s="6" t="s">
        <v>15</v>
      </c>
      <c r="H851" s="6"/>
      <c r="I851" s="16" t="s">
        <v>83</v>
      </c>
    </row>
    <row r="852" spans="1:10" x14ac:dyDescent="0.25">
      <c r="A852" s="6" t="s">
        <v>33</v>
      </c>
      <c r="B852" s="5">
        <v>45762</v>
      </c>
      <c r="C852" s="6" t="s">
        <v>1208</v>
      </c>
      <c r="D852" s="6" t="s">
        <v>14</v>
      </c>
      <c r="E852" s="6" t="s">
        <v>10</v>
      </c>
      <c r="F852" s="45">
        <v>250.00000000000003</v>
      </c>
      <c r="G852" s="6" t="s">
        <v>8</v>
      </c>
      <c r="H852" s="6"/>
      <c r="I852" s="16" t="s">
        <v>83</v>
      </c>
    </row>
    <row r="853" spans="1:10" x14ac:dyDescent="0.25">
      <c r="A853" s="6" t="s">
        <v>33</v>
      </c>
      <c r="B853" s="5">
        <v>45762</v>
      </c>
      <c r="C853" s="6" t="s">
        <v>1209</v>
      </c>
      <c r="D853" s="7" t="s">
        <v>1210</v>
      </c>
      <c r="E853" s="6" t="s">
        <v>10</v>
      </c>
      <c r="F853" s="45">
        <v>2224.1379310344828</v>
      </c>
      <c r="G853" s="7" t="s">
        <v>8</v>
      </c>
      <c r="H853" s="6"/>
      <c r="I853" s="16" t="s">
        <v>83</v>
      </c>
    </row>
    <row r="854" spans="1:10" x14ac:dyDescent="0.25">
      <c r="A854" s="6" t="s">
        <v>33</v>
      </c>
      <c r="B854" s="5">
        <v>45763</v>
      </c>
      <c r="C854" s="6" t="s">
        <v>1211</v>
      </c>
      <c r="D854" s="6" t="s">
        <v>35</v>
      </c>
      <c r="E854" s="6" t="s">
        <v>23</v>
      </c>
      <c r="F854" s="45">
        <v>385200</v>
      </c>
      <c r="G854" s="6" t="s">
        <v>13</v>
      </c>
      <c r="H854" s="6" t="s">
        <v>1212</v>
      </c>
      <c r="I854" s="16" t="s">
        <v>83</v>
      </c>
    </row>
    <row r="855" spans="1:10" x14ac:dyDescent="0.25">
      <c r="A855" s="6" t="s">
        <v>33</v>
      </c>
      <c r="B855" s="5">
        <v>45768</v>
      </c>
      <c r="C855" s="6" t="s">
        <v>1213</v>
      </c>
      <c r="D855" s="6" t="s">
        <v>12</v>
      </c>
      <c r="E855" s="6" t="s">
        <v>16</v>
      </c>
      <c r="F855" s="45">
        <v>9020.0000000000018</v>
      </c>
      <c r="G855" s="6" t="s">
        <v>13</v>
      </c>
      <c r="H855" s="6"/>
      <c r="I855" s="16" t="s">
        <v>83</v>
      </c>
    </row>
    <row r="856" spans="1:10" x14ac:dyDescent="0.25">
      <c r="A856" s="6" t="s">
        <v>33</v>
      </c>
      <c r="B856" s="5">
        <v>45768</v>
      </c>
      <c r="C856" s="6" t="s">
        <v>1214</v>
      </c>
      <c r="D856" s="6" t="s">
        <v>12</v>
      </c>
      <c r="E856" s="6" t="s">
        <v>18</v>
      </c>
      <c r="F856" s="45">
        <v>9098</v>
      </c>
      <c r="G856" s="6" t="s">
        <v>13</v>
      </c>
      <c r="H856" s="6"/>
      <c r="I856" s="16" t="s">
        <v>83</v>
      </c>
    </row>
    <row r="857" spans="1:10" x14ac:dyDescent="0.25">
      <c r="A857" s="6" t="s">
        <v>33</v>
      </c>
      <c r="B857" s="5">
        <v>45768</v>
      </c>
      <c r="C857" s="6" t="s">
        <v>1215</v>
      </c>
      <c r="D857" s="6" t="s">
        <v>14</v>
      </c>
      <c r="E857" s="6" t="s">
        <v>16</v>
      </c>
      <c r="F857" s="45">
        <v>6155.3017241379312</v>
      </c>
      <c r="G857" s="6" t="s">
        <v>15</v>
      </c>
      <c r="H857" s="6"/>
      <c r="I857" s="16" t="s">
        <v>83</v>
      </c>
    </row>
    <row r="858" spans="1:10" x14ac:dyDescent="0.25">
      <c r="A858" s="6" t="s">
        <v>33</v>
      </c>
      <c r="B858" s="5">
        <v>45768</v>
      </c>
      <c r="C858" s="6" t="s">
        <v>1216</v>
      </c>
      <c r="D858" s="6" t="s">
        <v>1217</v>
      </c>
      <c r="E858" s="6" t="s">
        <v>10</v>
      </c>
      <c r="F858" s="45">
        <v>1142.0603448275863</v>
      </c>
      <c r="G858" s="6" t="s">
        <v>13</v>
      </c>
      <c r="H858" s="6"/>
      <c r="I858" s="16" t="s">
        <v>83</v>
      </c>
    </row>
    <row r="859" spans="1:10" x14ac:dyDescent="0.25">
      <c r="A859" s="6" t="s">
        <v>33</v>
      </c>
      <c r="B859" s="5">
        <v>45771</v>
      </c>
      <c r="C859" s="6" t="s">
        <v>1218</v>
      </c>
      <c r="D859" s="6" t="s">
        <v>28</v>
      </c>
      <c r="E859" s="6" t="s">
        <v>16</v>
      </c>
      <c r="F859" s="45">
        <v>12295.362068965518</v>
      </c>
      <c r="G859" s="6" t="s">
        <v>13</v>
      </c>
      <c r="H859" s="6"/>
      <c r="I859" s="16" t="s">
        <v>83</v>
      </c>
    </row>
    <row r="860" spans="1:10" x14ac:dyDescent="0.25">
      <c r="A860" s="6" t="s">
        <v>33</v>
      </c>
      <c r="B860" s="5">
        <v>45771</v>
      </c>
      <c r="C860" s="6" t="s">
        <v>1219</v>
      </c>
      <c r="D860" s="6" t="s">
        <v>1154</v>
      </c>
      <c r="E860" s="6" t="s">
        <v>10</v>
      </c>
      <c r="F860" s="45">
        <v>301.72413793103448</v>
      </c>
      <c r="G860" s="6" t="s">
        <v>8</v>
      </c>
      <c r="H860" s="6"/>
      <c r="I860" s="16" t="s">
        <v>83</v>
      </c>
    </row>
    <row r="861" spans="1:10" x14ac:dyDescent="0.25">
      <c r="A861" s="6" t="s">
        <v>33</v>
      </c>
      <c r="B861" s="5">
        <v>45771</v>
      </c>
      <c r="C861" s="6" t="s">
        <v>1220</v>
      </c>
      <c r="D861" s="6" t="s">
        <v>1221</v>
      </c>
      <c r="E861" s="6" t="s">
        <v>20</v>
      </c>
      <c r="F861" s="45">
        <v>3189.6637931034488</v>
      </c>
      <c r="G861" s="6" t="s">
        <v>8</v>
      </c>
      <c r="H861" s="6" t="s">
        <v>44</v>
      </c>
      <c r="I861" s="16" t="s">
        <v>83</v>
      </c>
    </row>
    <row r="862" spans="1:10" x14ac:dyDescent="0.25">
      <c r="A862" s="20" t="s">
        <v>33</v>
      </c>
      <c r="B862" s="19">
        <v>45771</v>
      </c>
      <c r="C862" s="20" t="s">
        <v>1222</v>
      </c>
      <c r="D862" s="20" t="s">
        <v>35</v>
      </c>
      <c r="E862" s="20" t="s">
        <v>23</v>
      </c>
      <c r="F862" s="47">
        <v>347212.51</v>
      </c>
      <c r="G862" s="20" t="s">
        <v>13</v>
      </c>
      <c r="H862" s="20" t="s">
        <v>1223</v>
      </c>
      <c r="I862" s="66" t="s">
        <v>83</v>
      </c>
      <c r="J862" s="51" t="s">
        <v>2028</v>
      </c>
    </row>
    <row r="863" spans="1:10" x14ac:dyDescent="0.25">
      <c r="A863" s="6" t="s">
        <v>33</v>
      </c>
      <c r="B863" s="5">
        <v>45772</v>
      </c>
      <c r="C863" s="6" t="s">
        <v>1224</v>
      </c>
      <c r="D863" s="6" t="s">
        <v>14</v>
      </c>
      <c r="E863" s="6" t="s">
        <v>20</v>
      </c>
      <c r="F863" s="45">
        <v>4498.2758620689656</v>
      </c>
      <c r="G863" s="6" t="s">
        <v>8</v>
      </c>
      <c r="H863" s="6" t="s">
        <v>1205</v>
      </c>
      <c r="I863" s="16" t="s">
        <v>83</v>
      </c>
    </row>
    <row r="864" spans="1:10" x14ac:dyDescent="0.25">
      <c r="A864" s="6" t="s">
        <v>33</v>
      </c>
      <c r="B864" s="5">
        <v>45773</v>
      </c>
      <c r="C864" s="6" t="s">
        <v>1225</v>
      </c>
      <c r="D864" s="6" t="s">
        <v>14</v>
      </c>
      <c r="E864" s="6" t="s">
        <v>10</v>
      </c>
      <c r="F864" s="45">
        <v>388</v>
      </c>
      <c r="G864" s="6" t="s">
        <v>8</v>
      </c>
      <c r="H864" s="6"/>
      <c r="I864" s="16" t="s">
        <v>83</v>
      </c>
    </row>
    <row r="865" spans="1:9" x14ac:dyDescent="0.25">
      <c r="A865" s="6" t="s">
        <v>33</v>
      </c>
      <c r="B865" s="5">
        <v>45773</v>
      </c>
      <c r="C865" s="6" t="s">
        <v>1226</v>
      </c>
      <c r="D865" s="6" t="s">
        <v>1227</v>
      </c>
      <c r="E865" s="6" t="s">
        <v>11</v>
      </c>
      <c r="F865" s="45">
        <v>258.62068965517244</v>
      </c>
      <c r="G865" s="6" t="s">
        <v>15</v>
      </c>
      <c r="H865" s="6"/>
      <c r="I865" s="16" t="s">
        <v>83</v>
      </c>
    </row>
    <row r="866" spans="1:9" x14ac:dyDescent="0.25">
      <c r="A866" s="6" t="s">
        <v>33</v>
      </c>
      <c r="B866" s="5">
        <v>45775</v>
      </c>
      <c r="C866" s="6" t="s">
        <v>1228</v>
      </c>
      <c r="D866" s="6" t="s">
        <v>12</v>
      </c>
      <c r="E866" s="6" t="s">
        <v>20</v>
      </c>
      <c r="F866" s="45">
        <v>5603.4482758620697</v>
      </c>
      <c r="G866" s="6" t="s">
        <v>13</v>
      </c>
      <c r="H866" s="6" t="s">
        <v>1229</v>
      </c>
      <c r="I866" s="16" t="s">
        <v>83</v>
      </c>
    </row>
    <row r="867" spans="1:9" x14ac:dyDescent="0.25">
      <c r="A867" s="6" t="s">
        <v>33</v>
      </c>
      <c r="B867" s="5">
        <v>45775</v>
      </c>
      <c r="C867" s="6" t="s">
        <v>1230</v>
      </c>
      <c r="D867" s="6" t="s">
        <v>967</v>
      </c>
      <c r="E867" s="6" t="s">
        <v>18</v>
      </c>
      <c r="F867" s="45">
        <v>200</v>
      </c>
      <c r="G867" s="6" t="s">
        <v>968</v>
      </c>
      <c r="H867" s="6"/>
      <c r="I867" s="16" t="s">
        <v>83</v>
      </c>
    </row>
    <row r="868" spans="1:9" x14ac:dyDescent="0.25">
      <c r="A868" s="6" t="s">
        <v>33</v>
      </c>
      <c r="B868" s="5">
        <v>45775</v>
      </c>
      <c r="C868" s="6" t="s">
        <v>1231</v>
      </c>
      <c r="D868" s="6" t="s">
        <v>35</v>
      </c>
      <c r="E868" s="6" t="s">
        <v>23</v>
      </c>
      <c r="F868" s="45">
        <v>66600</v>
      </c>
      <c r="G868" s="6" t="s">
        <v>13</v>
      </c>
      <c r="H868" s="6" t="s">
        <v>1232</v>
      </c>
      <c r="I868" s="16" t="s">
        <v>83</v>
      </c>
    </row>
    <row r="869" spans="1:9" x14ac:dyDescent="0.25">
      <c r="A869" s="6" t="s">
        <v>33</v>
      </c>
      <c r="B869" s="5">
        <v>45775</v>
      </c>
      <c r="C869" s="6" t="s">
        <v>1233</v>
      </c>
      <c r="D869" s="6" t="s">
        <v>14</v>
      </c>
      <c r="E869" s="6" t="s">
        <v>16</v>
      </c>
      <c r="F869" s="45">
        <v>1353.5</v>
      </c>
      <c r="G869" s="6" t="s">
        <v>15</v>
      </c>
      <c r="H869" s="6"/>
      <c r="I869" s="16" t="s">
        <v>83</v>
      </c>
    </row>
    <row r="870" spans="1:9" x14ac:dyDescent="0.25">
      <c r="A870" s="6" t="s">
        <v>33</v>
      </c>
      <c r="B870" s="5">
        <v>45776</v>
      </c>
      <c r="C870" s="6" t="s">
        <v>1234</v>
      </c>
      <c r="D870" s="6" t="s">
        <v>14</v>
      </c>
      <c r="E870" s="6" t="s">
        <v>16</v>
      </c>
      <c r="F870" s="45">
        <v>1052</v>
      </c>
      <c r="G870" s="6" t="s">
        <v>15</v>
      </c>
      <c r="H870" s="6"/>
      <c r="I870" s="16" t="s">
        <v>83</v>
      </c>
    </row>
    <row r="871" spans="1:9" x14ac:dyDescent="0.25">
      <c r="A871" s="6" t="s">
        <v>33</v>
      </c>
      <c r="B871" s="5">
        <v>45776</v>
      </c>
      <c r="C871" s="6" t="s">
        <v>1235</v>
      </c>
      <c r="D871" s="6" t="s">
        <v>14</v>
      </c>
      <c r="E871" s="6" t="s">
        <v>10</v>
      </c>
      <c r="F871" s="45">
        <v>172.5</v>
      </c>
      <c r="G871" s="6" t="s">
        <v>8</v>
      </c>
      <c r="H871" s="6"/>
      <c r="I871" s="16" t="s">
        <v>83</v>
      </c>
    </row>
    <row r="872" spans="1:9" x14ac:dyDescent="0.25">
      <c r="A872" s="6" t="s">
        <v>33</v>
      </c>
      <c r="B872" s="5">
        <v>45776</v>
      </c>
      <c r="C872" s="6" t="s">
        <v>1236</v>
      </c>
      <c r="D872" s="6" t="s">
        <v>1169</v>
      </c>
      <c r="E872" s="6" t="s">
        <v>9</v>
      </c>
      <c r="F872" s="45">
        <v>324</v>
      </c>
      <c r="G872" s="6" t="s">
        <v>34</v>
      </c>
      <c r="H872" s="6"/>
      <c r="I872" s="16" t="s">
        <v>83</v>
      </c>
    </row>
    <row r="873" spans="1:9" x14ac:dyDescent="0.25">
      <c r="A873" s="6" t="s">
        <v>33</v>
      </c>
      <c r="B873" s="5">
        <v>45777</v>
      </c>
      <c r="C873" s="6" t="s">
        <v>1237</v>
      </c>
      <c r="D873" s="6" t="s">
        <v>14</v>
      </c>
      <c r="E873" s="6" t="s">
        <v>11</v>
      </c>
      <c r="F873" s="45">
        <v>258.62068965517244</v>
      </c>
      <c r="G873" s="6" t="s">
        <v>15</v>
      </c>
      <c r="H873" s="6"/>
      <c r="I873" s="16" t="s">
        <v>83</v>
      </c>
    </row>
    <row r="874" spans="1:9" x14ac:dyDescent="0.25">
      <c r="A874" s="6" t="s">
        <v>33</v>
      </c>
      <c r="B874" s="5">
        <v>45777</v>
      </c>
      <c r="C874" s="6" t="s">
        <v>1238</v>
      </c>
      <c r="D874" s="6" t="s">
        <v>1239</v>
      </c>
      <c r="E874" s="6" t="s">
        <v>10</v>
      </c>
      <c r="F874" s="45">
        <v>6440</v>
      </c>
      <c r="G874" s="6" t="s">
        <v>968</v>
      </c>
      <c r="H874" s="6"/>
      <c r="I874" s="16" t="s">
        <v>83</v>
      </c>
    </row>
    <row r="875" spans="1:9" x14ac:dyDescent="0.25">
      <c r="A875" s="6" t="s">
        <v>33</v>
      </c>
      <c r="B875" s="5">
        <v>45777</v>
      </c>
      <c r="C875" s="6" t="s">
        <v>1240</v>
      </c>
      <c r="D875" s="6" t="s">
        <v>14</v>
      </c>
      <c r="E875" s="6" t="s">
        <v>16</v>
      </c>
      <c r="F875" s="45">
        <v>1145.0000000000002</v>
      </c>
      <c r="G875" s="6" t="s">
        <v>15</v>
      </c>
      <c r="H875" s="6"/>
      <c r="I875" s="16" t="s">
        <v>83</v>
      </c>
    </row>
    <row r="876" spans="1:9" x14ac:dyDescent="0.25">
      <c r="A876" s="6" t="s">
        <v>33</v>
      </c>
      <c r="B876" s="5">
        <v>45777</v>
      </c>
      <c r="C876" s="6" t="s">
        <v>1241</v>
      </c>
      <c r="D876" s="6" t="s">
        <v>14</v>
      </c>
      <c r="E876" s="6" t="s">
        <v>16</v>
      </c>
      <c r="F876" s="45">
        <v>814.00000000000011</v>
      </c>
      <c r="G876" s="6" t="s">
        <v>15</v>
      </c>
      <c r="H876" s="6"/>
      <c r="I876" s="16" t="s">
        <v>83</v>
      </c>
    </row>
    <row r="877" spans="1:9" x14ac:dyDescent="0.25">
      <c r="A877" s="6" t="s">
        <v>33</v>
      </c>
      <c r="B877" s="5">
        <v>45782</v>
      </c>
      <c r="C877" s="6" t="s">
        <v>1242</v>
      </c>
      <c r="D877" s="6" t="s">
        <v>22</v>
      </c>
      <c r="E877" s="6"/>
      <c r="F877" s="45">
        <v>0</v>
      </c>
      <c r="G877" s="6"/>
      <c r="H877" s="6"/>
      <c r="I877" s="16" t="s">
        <v>83</v>
      </c>
    </row>
    <row r="878" spans="1:9" x14ac:dyDescent="0.25">
      <c r="A878" s="6" t="s">
        <v>33</v>
      </c>
      <c r="B878" s="5">
        <v>45782</v>
      </c>
      <c r="C878" s="6" t="s">
        <v>1243</v>
      </c>
      <c r="D878" s="6" t="s">
        <v>22</v>
      </c>
      <c r="E878" s="6"/>
      <c r="F878" s="45">
        <v>0</v>
      </c>
      <c r="G878" s="6"/>
      <c r="H878" s="6"/>
      <c r="I878" s="16" t="s">
        <v>83</v>
      </c>
    </row>
    <row r="879" spans="1:9" x14ac:dyDescent="0.25">
      <c r="A879" s="6" t="s">
        <v>33</v>
      </c>
      <c r="B879" s="5">
        <v>45784</v>
      </c>
      <c r="C879" s="6" t="s">
        <v>1244</v>
      </c>
      <c r="D879" s="6" t="s">
        <v>1245</v>
      </c>
      <c r="E879" s="6" t="s">
        <v>16</v>
      </c>
      <c r="F879" s="45">
        <v>1967.2413793103449</v>
      </c>
      <c r="G879" s="6" t="s">
        <v>15</v>
      </c>
      <c r="H879" s="6"/>
      <c r="I879" s="16" t="s">
        <v>83</v>
      </c>
    </row>
    <row r="880" spans="1:9" x14ac:dyDescent="0.25">
      <c r="A880" s="6" t="s">
        <v>33</v>
      </c>
      <c r="B880" s="5">
        <v>45784</v>
      </c>
      <c r="C880" s="6" t="s">
        <v>1246</v>
      </c>
      <c r="D880" s="6" t="s">
        <v>1247</v>
      </c>
      <c r="E880" s="6" t="s">
        <v>11</v>
      </c>
      <c r="F880" s="45">
        <v>258.62068965517244</v>
      </c>
      <c r="G880" s="6" t="s">
        <v>15</v>
      </c>
      <c r="H880" s="6"/>
      <c r="I880" s="16" t="s">
        <v>83</v>
      </c>
    </row>
    <row r="881" spans="1:9" x14ac:dyDescent="0.25">
      <c r="A881" s="6" t="s">
        <v>33</v>
      </c>
      <c r="B881" s="5">
        <v>45784</v>
      </c>
      <c r="C881" s="6" t="s">
        <v>1248</v>
      </c>
      <c r="D881" s="6" t="s">
        <v>14</v>
      </c>
      <c r="E881" s="6" t="s">
        <v>16</v>
      </c>
      <c r="F881" s="45">
        <v>1214</v>
      </c>
      <c r="G881" s="6" t="s">
        <v>15</v>
      </c>
      <c r="H881" s="6"/>
      <c r="I881" s="16" t="s">
        <v>83</v>
      </c>
    </row>
    <row r="882" spans="1:9" x14ac:dyDescent="0.25">
      <c r="A882" s="6" t="s">
        <v>33</v>
      </c>
      <c r="B882" s="5">
        <v>45784</v>
      </c>
      <c r="C882" s="6" t="s">
        <v>1249</v>
      </c>
      <c r="D882" s="6" t="s">
        <v>41</v>
      </c>
      <c r="E882" s="6" t="s">
        <v>16</v>
      </c>
      <c r="F882" s="45">
        <v>2580.0000000000005</v>
      </c>
      <c r="G882" s="6" t="s">
        <v>15</v>
      </c>
      <c r="H882" s="6"/>
      <c r="I882" s="16" t="s">
        <v>83</v>
      </c>
    </row>
    <row r="883" spans="1:9" x14ac:dyDescent="0.25">
      <c r="A883" s="6" t="s">
        <v>33</v>
      </c>
      <c r="B883" s="5">
        <v>45784</v>
      </c>
      <c r="C883" s="6" t="s">
        <v>1250</v>
      </c>
      <c r="D883" s="6" t="s">
        <v>45</v>
      </c>
      <c r="E883" s="6" t="s">
        <v>27</v>
      </c>
      <c r="F883" s="45">
        <v>258.62068965517244</v>
      </c>
      <c r="G883" s="6" t="s">
        <v>15</v>
      </c>
      <c r="H883" s="6"/>
      <c r="I883" s="16" t="s">
        <v>83</v>
      </c>
    </row>
    <row r="884" spans="1:9" x14ac:dyDescent="0.25">
      <c r="A884" s="6" t="s">
        <v>33</v>
      </c>
      <c r="B884" s="5">
        <v>45784</v>
      </c>
      <c r="C884" s="6" t="s">
        <v>1251</v>
      </c>
      <c r="D884" s="6" t="s">
        <v>45</v>
      </c>
      <c r="E884" s="6" t="s">
        <v>16</v>
      </c>
      <c r="F884" s="45">
        <v>1037.9310344827586</v>
      </c>
      <c r="G884" s="6" t="s">
        <v>15</v>
      </c>
      <c r="H884" s="6"/>
      <c r="I884" s="16" t="s">
        <v>83</v>
      </c>
    </row>
    <row r="885" spans="1:9" x14ac:dyDescent="0.25">
      <c r="A885" s="6" t="s">
        <v>33</v>
      </c>
      <c r="B885" s="5">
        <v>45785</v>
      </c>
      <c r="C885" s="6" t="s">
        <v>1252</v>
      </c>
      <c r="D885" s="6" t="s">
        <v>45</v>
      </c>
      <c r="E885" s="6" t="s">
        <v>16</v>
      </c>
      <c r="F885" s="45">
        <v>862.06896551724139</v>
      </c>
      <c r="G885" s="6" t="s">
        <v>15</v>
      </c>
      <c r="H885" s="6"/>
      <c r="I885" s="16" t="s">
        <v>83</v>
      </c>
    </row>
    <row r="886" spans="1:9" x14ac:dyDescent="0.25">
      <c r="A886" s="6" t="s">
        <v>33</v>
      </c>
      <c r="B886" s="5">
        <v>45785</v>
      </c>
      <c r="C886" s="6" t="s">
        <v>1253</v>
      </c>
      <c r="D886" s="6" t="s">
        <v>1254</v>
      </c>
      <c r="E886" s="6" t="s">
        <v>10</v>
      </c>
      <c r="F886" s="45">
        <v>1465.5172413793105</v>
      </c>
      <c r="G886" s="6" t="s">
        <v>8</v>
      </c>
      <c r="H886" s="6"/>
      <c r="I886" s="16" t="s">
        <v>83</v>
      </c>
    </row>
    <row r="887" spans="1:9" x14ac:dyDescent="0.25">
      <c r="A887" s="6" t="s">
        <v>33</v>
      </c>
      <c r="B887" s="5">
        <v>45785</v>
      </c>
      <c r="C887" s="6" t="s">
        <v>1255</v>
      </c>
      <c r="D887" s="6" t="s">
        <v>1254</v>
      </c>
      <c r="E887" s="6" t="s">
        <v>10</v>
      </c>
      <c r="F887" s="45">
        <v>948.27586206896558</v>
      </c>
      <c r="G887" s="6" t="s">
        <v>8</v>
      </c>
      <c r="H887" s="6"/>
      <c r="I887" s="16" t="s">
        <v>83</v>
      </c>
    </row>
    <row r="888" spans="1:9" x14ac:dyDescent="0.25">
      <c r="A888" s="6" t="s">
        <v>33</v>
      </c>
      <c r="B888" s="5">
        <v>45785</v>
      </c>
      <c r="C888" s="6" t="s">
        <v>1256</v>
      </c>
      <c r="D888" s="6" t="s">
        <v>14</v>
      </c>
      <c r="E888" s="6" t="s">
        <v>16</v>
      </c>
      <c r="F888" s="45">
        <v>1645.0000000000002</v>
      </c>
      <c r="G888" s="6" t="s">
        <v>15</v>
      </c>
      <c r="H888" s="6"/>
      <c r="I888" s="16" t="s">
        <v>83</v>
      </c>
    </row>
    <row r="889" spans="1:9" x14ac:dyDescent="0.25">
      <c r="A889" s="6" t="s">
        <v>33</v>
      </c>
      <c r="B889" s="5">
        <v>45786</v>
      </c>
      <c r="C889" s="6" t="s">
        <v>1257</v>
      </c>
      <c r="D889" s="6" t="s">
        <v>1258</v>
      </c>
      <c r="E889" s="6" t="s">
        <v>10</v>
      </c>
      <c r="F889" s="45">
        <v>258.62068965517244</v>
      </c>
      <c r="G889" s="6" t="s">
        <v>8</v>
      </c>
      <c r="H889" s="6"/>
      <c r="I889" s="16" t="s">
        <v>83</v>
      </c>
    </row>
    <row r="890" spans="1:9" x14ac:dyDescent="0.25">
      <c r="A890" s="6" t="s">
        <v>33</v>
      </c>
      <c r="B890" s="5">
        <v>45786</v>
      </c>
      <c r="C890" s="6" t="s">
        <v>1259</v>
      </c>
      <c r="D890" s="7" t="s">
        <v>14</v>
      </c>
      <c r="E890" s="6" t="s">
        <v>16</v>
      </c>
      <c r="F890" s="45">
        <v>1720.0000000000002</v>
      </c>
      <c r="G890" s="7" t="s">
        <v>15</v>
      </c>
      <c r="H890" s="6"/>
      <c r="I890" s="16" t="s">
        <v>83</v>
      </c>
    </row>
    <row r="891" spans="1:9" x14ac:dyDescent="0.25">
      <c r="A891" s="6" t="s">
        <v>33</v>
      </c>
      <c r="B891" s="5">
        <v>45786</v>
      </c>
      <c r="C891" s="6" t="s">
        <v>1260</v>
      </c>
      <c r="D891" s="6" t="s">
        <v>14</v>
      </c>
      <c r="E891" s="6" t="s">
        <v>10</v>
      </c>
      <c r="F891" s="45">
        <v>1465.5172413793105</v>
      </c>
      <c r="G891" s="6" t="s">
        <v>8</v>
      </c>
      <c r="H891" s="6"/>
      <c r="I891" s="16" t="s">
        <v>83</v>
      </c>
    </row>
    <row r="892" spans="1:9" x14ac:dyDescent="0.25">
      <c r="A892" s="6" t="s">
        <v>33</v>
      </c>
      <c r="B892" s="5">
        <v>45786</v>
      </c>
      <c r="C892" s="6" t="s">
        <v>1261</v>
      </c>
      <c r="D892" s="6" t="s">
        <v>14</v>
      </c>
      <c r="E892" s="6" t="s">
        <v>16</v>
      </c>
      <c r="F892" s="45">
        <v>1214</v>
      </c>
      <c r="G892" s="6" t="s">
        <v>15</v>
      </c>
      <c r="H892" s="6"/>
      <c r="I892" s="16" t="s">
        <v>83</v>
      </c>
    </row>
    <row r="893" spans="1:9" x14ac:dyDescent="0.25">
      <c r="A893" s="6" t="s">
        <v>33</v>
      </c>
      <c r="B893" s="5">
        <v>45789</v>
      </c>
      <c r="C893" s="6" t="s">
        <v>1262</v>
      </c>
      <c r="D893" s="6" t="s">
        <v>14</v>
      </c>
      <c r="E893" s="6" t="s">
        <v>10</v>
      </c>
      <c r="F893" s="45">
        <v>732.75862068965523</v>
      </c>
      <c r="G893" s="6" t="s">
        <v>8</v>
      </c>
      <c r="H893" s="6"/>
      <c r="I893" s="16" t="s">
        <v>83</v>
      </c>
    </row>
    <row r="894" spans="1:9" x14ac:dyDescent="0.25">
      <c r="A894" s="6" t="s">
        <v>33</v>
      </c>
      <c r="B894" s="5">
        <v>45790</v>
      </c>
      <c r="C894" s="6" t="s">
        <v>1263</v>
      </c>
      <c r="D894" s="6" t="s">
        <v>14</v>
      </c>
      <c r="E894" s="6" t="s">
        <v>16</v>
      </c>
      <c r="F894" s="45">
        <v>1778.0000000000002</v>
      </c>
      <c r="G894" s="6" t="s">
        <v>15</v>
      </c>
      <c r="H894" s="6"/>
      <c r="I894" s="16" t="s">
        <v>83</v>
      </c>
    </row>
    <row r="895" spans="1:9" x14ac:dyDescent="0.25">
      <c r="A895" s="6" t="s">
        <v>33</v>
      </c>
      <c r="B895" s="5">
        <v>45790</v>
      </c>
      <c r="C895" s="6" t="s">
        <v>1264</v>
      </c>
      <c r="D895" s="6" t="s">
        <v>14</v>
      </c>
      <c r="E895" s="6" t="s">
        <v>16</v>
      </c>
      <c r="F895" s="45">
        <v>2022.0000000000002</v>
      </c>
      <c r="G895" s="6" t="s">
        <v>15</v>
      </c>
      <c r="H895" s="6"/>
      <c r="I895" s="16" t="s">
        <v>83</v>
      </c>
    </row>
    <row r="896" spans="1:9" x14ac:dyDescent="0.25">
      <c r="A896" s="6" t="s">
        <v>33</v>
      </c>
      <c r="B896" s="5">
        <v>45790</v>
      </c>
      <c r="C896" s="6" t="s">
        <v>1265</v>
      </c>
      <c r="D896" s="6" t="s">
        <v>35</v>
      </c>
      <c r="E896" s="6" t="s">
        <v>10</v>
      </c>
      <c r="F896" s="45">
        <v>1649</v>
      </c>
      <c r="G896" s="6" t="s">
        <v>13</v>
      </c>
      <c r="H896" s="6"/>
      <c r="I896" s="16" t="s">
        <v>83</v>
      </c>
    </row>
    <row r="897" spans="1:10" x14ac:dyDescent="0.25">
      <c r="A897" s="6" t="s">
        <v>33</v>
      </c>
      <c r="B897" s="5">
        <v>45793</v>
      </c>
      <c r="C897" s="6" t="s">
        <v>1266</v>
      </c>
      <c r="D897" s="6" t="s">
        <v>967</v>
      </c>
      <c r="E897" s="6" t="s">
        <v>18</v>
      </c>
      <c r="F897" s="45">
        <v>2337</v>
      </c>
      <c r="G897" s="6" t="s">
        <v>968</v>
      </c>
      <c r="H897" s="6"/>
      <c r="I897" s="16" t="s">
        <v>83</v>
      </c>
    </row>
    <row r="898" spans="1:10" x14ac:dyDescent="0.25">
      <c r="A898" s="20" t="s">
        <v>33</v>
      </c>
      <c r="B898" s="19">
        <v>45793</v>
      </c>
      <c r="C898" s="20" t="s">
        <v>1267</v>
      </c>
      <c r="D898" s="20" t="s">
        <v>22</v>
      </c>
      <c r="E898" s="20" t="s">
        <v>1268</v>
      </c>
      <c r="F898" s="47">
        <v>11953.482758620692</v>
      </c>
      <c r="G898" s="20" t="s">
        <v>13</v>
      </c>
      <c r="H898" s="20" t="s">
        <v>43</v>
      </c>
      <c r="I898" s="66" t="s">
        <v>83</v>
      </c>
      <c r="J898" s="51" t="s">
        <v>2029</v>
      </c>
    </row>
    <row r="899" spans="1:10" x14ac:dyDescent="0.25">
      <c r="A899" s="6" t="s">
        <v>33</v>
      </c>
      <c r="B899" s="5">
        <v>45793</v>
      </c>
      <c r="C899" s="6" t="s">
        <v>1269</v>
      </c>
      <c r="D899" s="6" t="s">
        <v>967</v>
      </c>
      <c r="E899" s="6" t="s">
        <v>18</v>
      </c>
      <c r="F899" s="45">
        <v>484.00000000000006</v>
      </c>
      <c r="G899" s="6" t="s">
        <v>968</v>
      </c>
      <c r="H899" s="6"/>
      <c r="I899" s="16" t="s">
        <v>83</v>
      </c>
    </row>
    <row r="900" spans="1:10" x14ac:dyDescent="0.25">
      <c r="A900" s="6" t="s">
        <v>33</v>
      </c>
      <c r="B900" s="5">
        <v>45793</v>
      </c>
      <c r="C900" s="6" t="s">
        <v>1270</v>
      </c>
      <c r="D900" s="6" t="s">
        <v>22</v>
      </c>
      <c r="E900" s="6" t="s">
        <v>18</v>
      </c>
      <c r="F900" s="45">
        <v>728.00000000000011</v>
      </c>
      <c r="G900" s="6" t="s">
        <v>34</v>
      </c>
      <c r="H900" s="6"/>
      <c r="I900" s="16" t="s">
        <v>83</v>
      </c>
    </row>
    <row r="901" spans="1:10" x14ac:dyDescent="0.25">
      <c r="A901" s="6" t="s">
        <v>33</v>
      </c>
      <c r="B901" s="5">
        <v>45793</v>
      </c>
      <c r="C901" s="6" t="s">
        <v>1271</v>
      </c>
      <c r="D901" s="6" t="s">
        <v>1272</v>
      </c>
      <c r="E901" s="6" t="s">
        <v>10</v>
      </c>
      <c r="F901" s="45">
        <v>1293.1034482758621</v>
      </c>
      <c r="G901" s="6" t="s">
        <v>968</v>
      </c>
      <c r="H901" s="6"/>
      <c r="I901" s="16" t="s">
        <v>83</v>
      </c>
    </row>
    <row r="902" spans="1:10" x14ac:dyDescent="0.25">
      <c r="A902" s="6" t="s">
        <v>33</v>
      </c>
      <c r="B902" s="5">
        <v>45793</v>
      </c>
      <c r="C902" s="6" t="s">
        <v>1273</v>
      </c>
      <c r="D902" s="6" t="s">
        <v>14</v>
      </c>
      <c r="E902" s="6" t="s">
        <v>10</v>
      </c>
      <c r="F902" s="45">
        <v>1465.5172413793105</v>
      </c>
      <c r="G902" s="6" t="s">
        <v>8</v>
      </c>
      <c r="H902" s="6"/>
      <c r="I902" s="16" t="s">
        <v>83</v>
      </c>
    </row>
    <row r="903" spans="1:10" x14ac:dyDescent="0.25">
      <c r="A903" s="6" t="s">
        <v>33</v>
      </c>
      <c r="B903" s="5">
        <v>45793</v>
      </c>
      <c r="C903" s="6" t="s">
        <v>1274</v>
      </c>
      <c r="D903" s="6" t="s">
        <v>14</v>
      </c>
      <c r="E903" s="6" t="s">
        <v>10</v>
      </c>
      <c r="F903" s="45">
        <v>302</v>
      </c>
      <c r="G903" s="6" t="s">
        <v>8</v>
      </c>
      <c r="H903" s="6"/>
      <c r="I903" s="16" t="s">
        <v>83</v>
      </c>
    </row>
    <row r="904" spans="1:10" x14ac:dyDescent="0.25">
      <c r="A904" s="6" t="s">
        <v>33</v>
      </c>
      <c r="B904" s="5">
        <v>45793</v>
      </c>
      <c r="C904" s="6" t="s">
        <v>1275</v>
      </c>
      <c r="D904" s="6" t="s">
        <v>14</v>
      </c>
      <c r="E904" s="6" t="s">
        <v>10</v>
      </c>
      <c r="F904" s="45">
        <v>86.000000000000014</v>
      </c>
      <c r="G904" s="6" t="s">
        <v>8</v>
      </c>
      <c r="H904" s="6"/>
      <c r="I904" s="16" t="s">
        <v>83</v>
      </c>
    </row>
    <row r="905" spans="1:10" x14ac:dyDescent="0.25">
      <c r="A905" s="6" t="s">
        <v>33</v>
      </c>
      <c r="B905" s="5">
        <v>45793</v>
      </c>
      <c r="C905" s="6" t="s">
        <v>1276</v>
      </c>
      <c r="D905" s="6" t="s">
        <v>14</v>
      </c>
      <c r="E905" s="6" t="s">
        <v>10</v>
      </c>
      <c r="F905" s="45">
        <v>105</v>
      </c>
      <c r="G905" s="6" t="s">
        <v>8</v>
      </c>
      <c r="H905" s="6"/>
      <c r="I905" s="16" t="s">
        <v>83</v>
      </c>
    </row>
    <row r="906" spans="1:10" x14ac:dyDescent="0.25">
      <c r="A906" s="6" t="s">
        <v>33</v>
      </c>
      <c r="B906" s="5">
        <v>45797</v>
      </c>
      <c r="C906" s="6" t="s">
        <v>1277</v>
      </c>
      <c r="D906" s="6" t="s">
        <v>22</v>
      </c>
      <c r="E906" s="6"/>
      <c r="F906" s="45">
        <v>0</v>
      </c>
      <c r="G906" s="6"/>
      <c r="H906" s="6"/>
      <c r="I906" s="16" t="s">
        <v>83</v>
      </c>
    </row>
    <row r="907" spans="1:10" x14ac:dyDescent="0.25">
      <c r="A907" s="6" t="s">
        <v>33</v>
      </c>
      <c r="B907" s="5">
        <v>45797</v>
      </c>
      <c r="C907" s="6" t="s">
        <v>1278</v>
      </c>
      <c r="D907" s="6" t="s">
        <v>14</v>
      </c>
      <c r="E907" s="6" t="s">
        <v>10</v>
      </c>
      <c r="F907" s="45">
        <v>258.62068965517244</v>
      </c>
      <c r="G907" s="6" t="s">
        <v>8</v>
      </c>
      <c r="H907" s="6"/>
      <c r="I907" s="16" t="s">
        <v>83</v>
      </c>
    </row>
    <row r="908" spans="1:10" x14ac:dyDescent="0.25">
      <c r="A908" s="6" t="s">
        <v>33</v>
      </c>
      <c r="B908" s="5">
        <v>45797</v>
      </c>
      <c r="C908" s="6" t="s">
        <v>1279</v>
      </c>
      <c r="D908" s="6" t="s">
        <v>14</v>
      </c>
      <c r="E908" s="6" t="s">
        <v>10</v>
      </c>
      <c r="F908" s="45">
        <v>173.00000000000003</v>
      </c>
      <c r="G908" s="6" t="s">
        <v>8</v>
      </c>
      <c r="H908" s="6"/>
      <c r="I908" s="16" t="s">
        <v>83</v>
      </c>
    </row>
    <row r="909" spans="1:10" x14ac:dyDescent="0.25">
      <c r="A909" s="6" t="s">
        <v>33</v>
      </c>
      <c r="B909" s="5">
        <v>45799</v>
      </c>
      <c r="C909" s="6" t="s">
        <v>1280</v>
      </c>
      <c r="D909" s="6" t="s">
        <v>1281</v>
      </c>
      <c r="E909" s="6" t="s">
        <v>10</v>
      </c>
      <c r="F909" s="45">
        <v>1465.5172413793105</v>
      </c>
      <c r="G909" s="6" t="s">
        <v>8</v>
      </c>
      <c r="H909" s="6"/>
      <c r="I909" s="16" t="s">
        <v>83</v>
      </c>
    </row>
    <row r="910" spans="1:10" x14ac:dyDescent="0.25">
      <c r="A910" s="6" t="s">
        <v>33</v>
      </c>
      <c r="B910" s="5">
        <v>45799</v>
      </c>
      <c r="C910" s="6" t="s">
        <v>1282</v>
      </c>
      <c r="D910" s="6" t="s">
        <v>1176</v>
      </c>
      <c r="E910" s="6" t="s">
        <v>23</v>
      </c>
      <c r="F910" s="45">
        <v>78300</v>
      </c>
      <c r="G910" s="6" t="s">
        <v>34</v>
      </c>
      <c r="H910" s="6" t="s">
        <v>1283</v>
      </c>
      <c r="I910" s="16" t="s">
        <v>83</v>
      </c>
    </row>
    <row r="911" spans="1:10" x14ac:dyDescent="0.25">
      <c r="A911" s="6" t="s">
        <v>33</v>
      </c>
      <c r="B911" s="5">
        <v>45799</v>
      </c>
      <c r="C911" s="21" t="s">
        <v>1284</v>
      </c>
      <c r="D911" s="7" t="s">
        <v>22</v>
      </c>
      <c r="E911" s="6" t="s">
        <v>18</v>
      </c>
      <c r="F911" s="45">
        <v>348.00000000000006</v>
      </c>
      <c r="G911" s="7" t="s">
        <v>34</v>
      </c>
      <c r="H911" s="6"/>
      <c r="I911" s="16" t="s">
        <v>83</v>
      </c>
    </row>
    <row r="912" spans="1:10" x14ac:dyDescent="0.25">
      <c r="A912" s="6" t="s">
        <v>33</v>
      </c>
      <c r="B912" s="5">
        <v>45800</v>
      </c>
      <c r="C912" s="6" t="s">
        <v>1285</v>
      </c>
      <c r="D912" s="6" t="s">
        <v>1286</v>
      </c>
      <c r="E912" s="6" t="s">
        <v>11</v>
      </c>
      <c r="F912" s="45">
        <v>500.00000000000006</v>
      </c>
      <c r="G912" s="6" t="s">
        <v>968</v>
      </c>
      <c r="H912" s="6"/>
      <c r="I912" s="16" t="s">
        <v>83</v>
      </c>
    </row>
    <row r="913" spans="1:9" x14ac:dyDescent="0.25">
      <c r="A913" s="6" t="s">
        <v>33</v>
      </c>
      <c r="B913" s="5">
        <v>45800</v>
      </c>
      <c r="C913" s="6" t="s">
        <v>1287</v>
      </c>
      <c r="D913" s="6" t="s">
        <v>1288</v>
      </c>
      <c r="E913" s="6" t="s">
        <v>23</v>
      </c>
      <c r="F913" s="45">
        <v>172800</v>
      </c>
      <c r="G913" s="6" t="s">
        <v>13</v>
      </c>
      <c r="H913" s="6" t="s">
        <v>1289</v>
      </c>
      <c r="I913" s="16" t="s">
        <v>83</v>
      </c>
    </row>
    <row r="914" spans="1:9" x14ac:dyDescent="0.25">
      <c r="A914" s="6" t="s">
        <v>33</v>
      </c>
      <c r="B914" s="5">
        <v>45800</v>
      </c>
      <c r="C914" s="6" t="s">
        <v>1290</v>
      </c>
      <c r="D914" s="6" t="s">
        <v>1291</v>
      </c>
      <c r="E914" s="6" t="s">
        <v>18</v>
      </c>
      <c r="F914" s="45">
        <v>431.04310344827587</v>
      </c>
      <c r="G914" s="6" t="s">
        <v>15</v>
      </c>
      <c r="H914" s="6"/>
      <c r="I914" s="16" t="s">
        <v>83</v>
      </c>
    </row>
    <row r="915" spans="1:9" x14ac:dyDescent="0.25">
      <c r="A915" s="6" t="s">
        <v>33</v>
      </c>
      <c r="B915" s="5">
        <v>45800</v>
      </c>
      <c r="C915" s="6" t="s">
        <v>1292</v>
      </c>
      <c r="D915" s="6" t="s">
        <v>46</v>
      </c>
      <c r="E915" s="6" t="s">
        <v>16</v>
      </c>
      <c r="F915" s="45">
        <v>6080.0000000000009</v>
      </c>
      <c r="G915" s="6" t="s">
        <v>15</v>
      </c>
      <c r="H915" s="6"/>
      <c r="I915" s="16" t="s">
        <v>83</v>
      </c>
    </row>
    <row r="916" spans="1:9" x14ac:dyDescent="0.25">
      <c r="A916" s="6" t="s">
        <v>33</v>
      </c>
      <c r="B916" s="5">
        <v>45801</v>
      </c>
      <c r="C916" s="6" t="s">
        <v>1293</v>
      </c>
      <c r="D916" s="6" t="s">
        <v>1294</v>
      </c>
      <c r="E916" s="6" t="s">
        <v>10</v>
      </c>
      <c r="F916" s="45">
        <v>129.31034482758622</v>
      </c>
      <c r="G916" s="6" t="s">
        <v>8</v>
      </c>
      <c r="H916" s="6"/>
      <c r="I916" s="16" t="s">
        <v>83</v>
      </c>
    </row>
    <row r="917" spans="1:9" x14ac:dyDescent="0.25">
      <c r="A917" s="6" t="s">
        <v>33</v>
      </c>
      <c r="B917" s="5">
        <v>45801</v>
      </c>
      <c r="C917" s="6" t="s">
        <v>1295</v>
      </c>
      <c r="D917" s="6" t="s">
        <v>14</v>
      </c>
      <c r="E917" s="6" t="s">
        <v>16</v>
      </c>
      <c r="F917" s="45">
        <v>2459</v>
      </c>
      <c r="G917" s="6" t="s">
        <v>15</v>
      </c>
      <c r="H917" s="6"/>
      <c r="I917" s="16" t="s">
        <v>83</v>
      </c>
    </row>
    <row r="918" spans="1:9" x14ac:dyDescent="0.25">
      <c r="A918" s="6" t="s">
        <v>33</v>
      </c>
      <c r="B918" s="5">
        <v>45803</v>
      </c>
      <c r="C918" s="6" t="s">
        <v>1296</v>
      </c>
      <c r="D918" s="6" t="s">
        <v>14</v>
      </c>
      <c r="E918" s="6" t="s">
        <v>11</v>
      </c>
      <c r="F918" s="45">
        <v>344.82758620689657</v>
      </c>
      <c r="G918" s="6" t="s">
        <v>15</v>
      </c>
      <c r="H918" s="6"/>
      <c r="I918" s="16" t="s">
        <v>83</v>
      </c>
    </row>
    <row r="919" spans="1:9" x14ac:dyDescent="0.25">
      <c r="A919" s="6" t="s">
        <v>33</v>
      </c>
      <c r="B919" s="5">
        <v>45803</v>
      </c>
      <c r="C919" s="6" t="s">
        <v>1297</v>
      </c>
      <c r="D919" s="6" t="s">
        <v>14</v>
      </c>
      <c r="E919" s="6" t="s">
        <v>11</v>
      </c>
      <c r="F919" s="45">
        <v>258.62068965517244</v>
      </c>
      <c r="G919" s="6" t="s">
        <v>15</v>
      </c>
      <c r="H919" s="6"/>
      <c r="I919" s="16" t="s">
        <v>83</v>
      </c>
    </row>
    <row r="920" spans="1:9" x14ac:dyDescent="0.25">
      <c r="A920" s="6" t="s">
        <v>33</v>
      </c>
      <c r="B920" s="5">
        <v>45803</v>
      </c>
      <c r="C920" s="6" t="s">
        <v>1298</v>
      </c>
      <c r="D920" s="6" t="s">
        <v>14</v>
      </c>
      <c r="E920" s="6" t="s">
        <v>16</v>
      </c>
      <c r="F920" s="45">
        <v>1174</v>
      </c>
      <c r="G920" s="6" t="s">
        <v>15</v>
      </c>
      <c r="H920" s="6"/>
      <c r="I920" s="16" t="s">
        <v>83</v>
      </c>
    </row>
    <row r="921" spans="1:9" x14ac:dyDescent="0.25">
      <c r="A921" s="6" t="s">
        <v>33</v>
      </c>
      <c r="B921" s="5">
        <v>45804</v>
      </c>
      <c r="C921" s="6" t="s">
        <v>1299</v>
      </c>
      <c r="D921" s="6" t="s">
        <v>1300</v>
      </c>
      <c r="E921" s="6" t="s">
        <v>16</v>
      </c>
      <c r="F921" s="45">
        <v>1836.0000000000002</v>
      </c>
      <c r="G921" s="6" t="s">
        <v>15</v>
      </c>
      <c r="H921" s="6"/>
      <c r="I921" s="16" t="s">
        <v>83</v>
      </c>
    </row>
    <row r="922" spans="1:9" x14ac:dyDescent="0.25">
      <c r="A922" s="6" t="s">
        <v>33</v>
      </c>
      <c r="B922" s="5">
        <v>45804</v>
      </c>
      <c r="C922" s="6" t="s">
        <v>1301</v>
      </c>
      <c r="D922" s="6" t="s">
        <v>22</v>
      </c>
      <c r="E922" s="6"/>
      <c r="F922" s="45">
        <v>0</v>
      </c>
      <c r="G922" s="6"/>
      <c r="H922" s="6"/>
      <c r="I922" s="16" t="s">
        <v>83</v>
      </c>
    </row>
    <row r="923" spans="1:9" x14ac:dyDescent="0.25">
      <c r="A923" s="6" t="s">
        <v>33</v>
      </c>
      <c r="B923" s="5">
        <v>45804</v>
      </c>
      <c r="C923" s="6" t="s">
        <v>1302</v>
      </c>
      <c r="D923" s="6" t="s">
        <v>1303</v>
      </c>
      <c r="E923" s="6" t="s">
        <v>16</v>
      </c>
      <c r="F923" s="45">
        <v>14987.077586206897</v>
      </c>
      <c r="G923" s="6" t="s">
        <v>47</v>
      </c>
      <c r="H923" s="6"/>
      <c r="I923" s="16" t="s">
        <v>83</v>
      </c>
    </row>
    <row r="924" spans="1:9" x14ac:dyDescent="0.25">
      <c r="A924" s="6" t="s">
        <v>33</v>
      </c>
      <c r="B924" s="5">
        <v>45804</v>
      </c>
      <c r="C924" s="6" t="s">
        <v>1304</v>
      </c>
      <c r="D924" s="6" t="s">
        <v>14</v>
      </c>
      <c r="E924" s="6" t="s">
        <v>10</v>
      </c>
      <c r="F924" s="45">
        <v>390.51724137931035</v>
      </c>
      <c r="G924" s="6" t="s">
        <v>968</v>
      </c>
      <c r="H924" s="6"/>
      <c r="I924" s="16" t="s">
        <v>83</v>
      </c>
    </row>
    <row r="925" spans="1:9" x14ac:dyDescent="0.25">
      <c r="A925" s="6" t="s">
        <v>33</v>
      </c>
      <c r="B925" s="5">
        <v>45804</v>
      </c>
      <c r="C925" s="6" t="s">
        <v>1305</v>
      </c>
      <c r="D925" s="6" t="s">
        <v>14</v>
      </c>
      <c r="E925" s="6" t="s">
        <v>16</v>
      </c>
      <c r="F925" s="45">
        <v>2360</v>
      </c>
      <c r="G925" s="6" t="s">
        <v>15</v>
      </c>
      <c r="H925" s="6"/>
      <c r="I925" s="16" t="s">
        <v>83</v>
      </c>
    </row>
    <row r="926" spans="1:9" x14ac:dyDescent="0.25">
      <c r="A926" s="6" t="s">
        <v>33</v>
      </c>
      <c r="B926" s="5">
        <v>45804</v>
      </c>
      <c r="C926" s="6" t="s">
        <v>1306</v>
      </c>
      <c r="D926" s="6" t="s">
        <v>14</v>
      </c>
      <c r="E926" s="6" t="s">
        <v>16</v>
      </c>
      <c r="F926" s="45">
        <v>2618.0000000000005</v>
      </c>
      <c r="G926" s="6" t="s">
        <v>15</v>
      </c>
      <c r="H926" s="6"/>
      <c r="I926" s="16" t="s">
        <v>83</v>
      </c>
    </row>
    <row r="927" spans="1:9" x14ac:dyDescent="0.25">
      <c r="A927" s="6" t="s">
        <v>33</v>
      </c>
      <c r="B927" s="5">
        <v>45805</v>
      </c>
      <c r="C927" s="6" t="s">
        <v>1307</v>
      </c>
      <c r="D927" s="6" t="s">
        <v>1308</v>
      </c>
      <c r="E927" s="6" t="s">
        <v>16</v>
      </c>
      <c r="F927" s="45">
        <v>7222.0000000000009</v>
      </c>
      <c r="G927" s="6" t="s">
        <v>15</v>
      </c>
      <c r="H927" s="6"/>
      <c r="I927" s="16" t="s">
        <v>83</v>
      </c>
    </row>
    <row r="928" spans="1:9" x14ac:dyDescent="0.25">
      <c r="A928" s="6" t="s">
        <v>33</v>
      </c>
      <c r="B928" s="5">
        <v>45805</v>
      </c>
      <c r="C928" s="6" t="s">
        <v>1309</v>
      </c>
      <c r="D928" s="6" t="s">
        <v>1310</v>
      </c>
      <c r="E928" s="6" t="s">
        <v>16</v>
      </c>
      <c r="F928" s="45">
        <v>5421</v>
      </c>
      <c r="G928" s="6" t="s">
        <v>15</v>
      </c>
      <c r="H928" s="6"/>
      <c r="I928" s="16" t="s">
        <v>83</v>
      </c>
    </row>
    <row r="929" spans="1:9" x14ac:dyDescent="0.25">
      <c r="A929" s="6" t="s">
        <v>33</v>
      </c>
      <c r="B929" s="5">
        <v>45805</v>
      </c>
      <c r="C929" s="6" t="s">
        <v>1311</v>
      </c>
      <c r="D929" s="6" t="s">
        <v>48</v>
      </c>
      <c r="E929" s="6" t="s">
        <v>16</v>
      </c>
      <c r="F929" s="45">
        <v>2000.0000000000002</v>
      </c>
      <c r="G929" s="6" t="s">
        <v>15</v>
      </c>
      <c r="H929" s="6"/>
      <c r="I929" s="16" t="s">
        <v>83</v>
      </c>
    </row>
    <row r="930" spans="1:9" x14ac:dyDescent="0.25">
      <c r="A930" s="6" t="s">
        <v>33</v>
      </c>
      <c r="B930" s="5">
        <v>45805</v>
      </c>
      <c r="C930" s="6" t="s">
        <v>1312</v>
      </c>
      <c r="D930" s="6" t="s">
        <v>22</v>
      </c>
      <c r="E930" s="6" t="s">
        <v>10</v>
      </c>
      <c r="F930" s="45">
        <v>200.94827586206898</v>
      </c>
      <c r="G930" s="6" t="s">
        <v>34</v>
      </c>
      <c r="H930" s="6"/>
      <c r="I930" s="16" t="s">
        <v>83</v>
      </c>
    </row>
    <row r="931" spans="1:9" x14ac:dyDescent="0.25">
      <c r="A931" s="6" t="s">
        <v>33</v>
      </c>
      <c r="B931" s="5">
        <v>45805</v>
      </c>
      <c r="C931" s="6" t="s">
        <v>1313</v>
      </c>
      <c r="D931" s="6" t="s">
        <v>14</v>
      </c>
      <c r="E931" s="6" t="s">
        <v>16</v>
      </c>
      <c r="F931" s="45">
        <v>4301.7586206896558</v>
      </c>
      <c r="G931" s="6" t="s">
        <v>15</v>
      </c>
      <c r="H931" s="6"/>
      <c r="I931" s="16" t="s">
        <v>83</v>
      </c>
    </row>
    <row r="932" spans="1:9" x14ac:dyDescent="0.25">
      <c r="A932" s="6" t="s">
        <v>33</v>
      </c>
      <c r="B932" s="5">
        <v>45805</v>
      </c>
      <c r="C932" s="6" t="s">
        <v>1314</v>
      </c>
      <c r="D932" s="6" t="s">
        <v>14</v>
      </c>
      <c r="E932" s="6" t="s">
        <v>1315</v>
      </c>
      <c r="F932" s="45">
        <v>1929</v>
      </c>
      <c r="G932" s="6" t="s">
        <v>15</v>
      </c>
      <c r="H932" s="6"/>
      <c r="I932" s="16" t="s">
        <v>83</v>
      </c>
    </row>
    <row r="933" spans="1:9" x14ac:dyDescent="0.25">
      <c r="A933" s="6" t="s">
        <v>33</v>
      </c>
      <c r="B933" s="5">
        <v>45805</v>
      </c>
      <c r="C933" s="6" t="s">
        <v>1316</v>
      </c>
      <c r="D933" s="6" t="s">
        <v>14</v>
      </c>
      <c r="E933" s="6" t="s">
        <v>11</v>
      </c>
      <c r="F933" s="45">
        <v>258.62068965517244</v>
      </c>
      <c r="G933" s="6" t="s">
        <v>15</v>
      </c>
      <c r="H933" s="6"/>
      <c r="I933" s="16" t="s">
        <v>83</v>
      </c>
    </row>
    <row r="934" spans="1:9" x14ac:dyDescent="0.25">
      <c r="A934" s="6" t="s">
        <v>33</v>
      </c>
      <c r="B934" s="5">
        <v>45805</v>
      </c>
      <c r="C934" s="6" t="s">
        <v>1317</v>
      </c>
      <c r="D934" s="6" t="s">
        <v>14</v>
      </c>
      <c r="E934" s="6" t="s">
        <v>10</v>
      </c>
      <c r="F934" s="45">
        <v>129.31034482758622</v>
      </c>
      <c r="G934" s="6" t="s">
        <v>8</v>
      </c>
      <c r="H934" s="6"/>
      <c r="I934" s="16" t="s">
        <v>83</v>
      </c>
    </row>
    <row r="935" spans="1:9" x14ac:dyDescent="0.25">
      <c r="A935" s="6" t="s">
        <v>33</v>
      </c>
      <c r="B935" s="5">
        <v>45805</v>
      </c>
      <c r="C935" s="6" t="s">
        <v>1318</v>
      </c>
      <c r="D935" s="6" t="s">
        <v>1319</v>
      </c>
      <c r="E935" s="6" t="s">
        <v>10</v>
      </c>
      <c r="F935" s="45">
        <v>1346</v>
      </c>
      <c r="G935" s="6" t="s">
        <v>49</v>
      </c>
      <c r="H935" s="6"/>
      <c r="I935" s="16" t="s">
        <v>83</v>
      </c>
    </row>
    <row r="936" spans="1:9" x14ac:dyDescent="0.25">
      <c r="A936" s="6" t="s">
        <v>33</v>
      </c>
      <c r="B936" s="5">
        <v>45805</v>
      </c>
      <c r="C936" s="6" t="s">
        <v>1320</v>
      </c>
      <c r="D936" s="6" t="s">
        <v>1319</v>
      </c>
      <c r="E936" s="6" t="s">
        <v>27</v>
      </c>
      <c r="F936" s="45">
        <v>1200</v>
      </c>
      <c r="G936" s="6" t="s">
        <v>49</v>
      </c>
      <c r="H936" s="6"/>
      <c r="I936" s="16" t="s">
        <v>83</v>
      </c>
    </row>
    <row r="937" spans="1:9" x14ac:dyDescent="0.25">
      <c r="A937" s="6" t="s">
        <v>33</v>
      </c>
      <c r="B937" s="5">
        <v>45805</v>
      </c>
      <c r="C937" s="6" t="s">
        <v>1321</v>
      </c>
      <c r="D937" s="6" t="s">
        <v>1322</v>
      </c>
      <c r="E937" s="6" t="s">
        <v>20</v>
      </c>
      <c r="F937" s="45">
        <v>1336.2068965517242</v>
      </c>
      <c r="G937" s="6" t="s">
        <v>8</v>
      </c>
      <c r="H937" s="6" t="s">
        <v>50</v>
      </c>
      <c r="I937" s="16" t="s">
        <v>83</v>
      </c>
    </row>
    <row r="938" spans="1:9" x14ac:dyDescent="0.25">
      <c r="A938" s="6" t="s">
        <v>33</v>
      </c>
      <c r="B938" s="5">
        <v>45806</v>
      </c>
      <c r="C938" s="6" t="s">
        <v>1323</v>
      </c>
      <c r="D938" s="6" t="s">
        <v>1324</v>
      </c>
      <c r="E938" s="6" t="s">
        <v>16</v>
      </c>
      <c r="F938" s="45">
        <v>8595.0000000000018</v>
      </c>
      <c r="G938" s="6" t="s">
        <v>15</v>
      </c>
      <c r="H938" s="6"/>
      <c r="I938" s="16" t="s">
        <v>83</v>
      </c>
    </row>
    <row r="939" spans="1:9" x14ac:dyDescent="0.25">
      <c r="A939" s="6" t="s">
        <v>33</v>
      </c>
      <c r="B939" s="5">
        <v>45806</v>
      </c>
      <c r="C939" s="6" t="s">
        <v>1325</v>
      </c>
      <c r="D939" s="6" t="s">
        <v>1326</v>
      </c>
      <c r="E939" s="6" t="s">
        <v>10</v>
      </c>
      <c r="F939" s="45">
        <v>1465.5172413793105</v>
      </c>
      <c r="G939" s="6" t="s">
        <v>8</v>
      </c>
      <c r="H939" s="6"/>
      <c r="I939" s="16" t="s">
        <v>83</v>
      </c>
    </row>
    <row r="940" spans="1:9" x14ac:dyDescent="0.25">
      <c r="A940" s="6" t="s">
        <v>33</v>
      </c>
      <c r="B940" s="5">
        <v>45806</v>
      </c>
      <c r="C940" s="6" t="s">
        <v>1327</v>
      </c>
      <c r="D940" s="6" t="s">
        <v>1114</v>
      </c>
      <c r="E940" s="6" t="s">
        <v>23</v>
      </c>
      <c r="F940" s="45">
        <v>35100</v>
      </c>
      <c r="G940" s="6" t="s">
        <v>968</v>
      </c>
      <c r="H940" s="6" t="s">
        <v>51</v>
      </c>
      <c r="I940" s="16" t="s">
        <v>83</v>
      </c>
    </row>
    <row r="941" spans="1:9" x14ac:dyDescent="0.25">
      <c r="A941" s="6" t="s">
        <v>33</v>
      </c>
      <c r="B941" s="5">
        <v>45807</v>
      </c>
      <c r="C941" s="6" t="s">
        <v>1328</v>
      </c>
      <c r="D941" s="6" t="s">
        <v>1329</v>
      </c>
      <c r="E941" s="6" t="s">
        <v>16</v>
      </c>
      <c r="F941" s="45">
        <v>9166</v>
      </c>
      <c r="G941" s="6" t="s">
        <v>13</v>
      </c>
      <c r="H941" s="6"/>
      <c r="I941" s="16" t="s">
        <v>83</v>
      </c>
    </row>
    <row r="942" spans="1:9" x14ac:dyDescent="0.25">
      <c r="A942" s="6" t="s">
        <v>33</v>
      </c>
      <c r="B942" s="5">
        <v>45807</v>
      </c>
      <c r="C942" s="6" t="s">
        <v>1330</v>
      </c>
      <c r="D942" s="6" t="s">
        <v>942</v>
      </c>
      <c r="E942" s="6" t="s">
        <v>18</v>
      </c>
      <c r="F942" s="45">
        <v>2970</v>
      </c>
      <c r="G942" s="6" t="s">
        <v>47</v>
      </c>
      <c r="H942" s="6"/>
      <c r="I942" s="16" t="s">
        <v>83</v>
      </c>
    </row>
    <row r="943" spans="1:9" x14ac:dyDescent="0.25">
      <c r="A943" s="6" t="s">
        <v>33</v>
      </c>
      <c r="B943" s="5">
        <v>45807</v>
      </c>
      <c r="C943" s="6" t="s">
        <v>1331</v>
      </c>
      <c r="D943" s="6" t="s">
        <v>14</v>
      </c>
      <c r="E943" s="6" t="s">
        <v>16</v>
      </c>
      <c r="F943" s="45">
        <v>2683.0000000000005</v>
      </c>
      <c r="G943" s="6" t="s">
        <v>15</v>
      </c>
      <c r="H943" s="6"/>
      <c r="I943" s="16" t="s">
        <v>83</v>
      </c>
    </row>
    <row r="944" spans="1:9" x14ac:dyDescent="0.25">
      <c r="A944" s="6" t="s">
        <v>33</v>
      </c>
      <c r="B944" s="5">
        <v>45808</v>
      </c>
      <c r="C944" s="6" t="s">
        <v>1332</v>
      </c>
      <c r="D944" s="6" t="s">
        <v>1333</v>
      </c>
      <c r="E944" s="6" t="s">
        <v>20</v>
      </c>
      <c r="F944" s="45">
        <v>5172.4137931034484</v>
      </c>
      <c r="G944" s="6" t="s">
        <v>8</v>
      </c>
      <c r="H944" s="6" t="s">
        <v>37</v>
      </c>
      <c r="I944" s="16" t="s">
        <v>83</v>
      </c>
    </row>
    <row r="945" spans="1:9" x14ac:dyDescent="0.25">
      <c r="A945" s="6" t="s">
        <v>33</v>
      </c>
      <c r="B945" s="5">
        <v>45808</v>
      </c>
      <c r="C945" s="6" t="s">
        <v>1334</v>
      </c>
      <c r="D945" s="6" t="s">
        <v>14</v>
      </c>
      <c r="E945" s="6" t="s">
        <v>10</v>
      </c>
      <c r="F945" s="45">
        <v>466</v>
      </c>
      <c r="G945" s="6" t="s">
        <v>8</v>
      </c>
      <c r="H945" s="6"/>
      <c r="I945" s="16" t="s">
        <v>83</v>
      </c>
    </row>
    <row r="946" spans="1:9" x14ac:dyDescent="0.25">
      <c r="A946" s="6" t="s">
        <v>33</v>
      </c>
      <c r="B946" s="5">
        <v>45808</v>
      </c>
      <c r="C946" s="6" t="s">
        <v>1335</v>
      </c>
      <c r="D946" s="6" t="s">
        <v>1319</v>
      </c>
      <c r="E946" s="6" t="s">
        <v>16</v>
      </c>
      <c r="F946" s="45">
        <v>30596.000000000004</v>
      </c>
      <c r="G946" s="6" t="s">
        <v>49</v>
      </c>
      <c r="H946" s="6"/>
      <c r="I946" s="16" t="s">
        <v>83</v>
      </c>
    </row>
    <row r="947" spans="1:9" x14ac:dyDescent="0.25">
      <c r="A947" s="6" t="s">
        <v>33</v>
      </c>
      <c r="B947" s="5">
        <v>45810</v>
      </c>
      <c r="C947" s="6" t="s">
        <v>1336</v>
      </c>
      <c r="D947" s="6" t="s">
        <v>1056</v>
      </c>
      <c r="E947" s="6" t="s">
        <v>18</v>
      </c>
      <c r="F947" s="45">
        <v>790</v>
      </c>
      <c r="G947" s="6" t="s">
        <v>15</v>
      </c>
      <c r="H947" s="6"/>
      <c r="I947" s="16" t="s">
        <v>83</v>
      </c>
    </row>
    <row r="948" spans="1:9" x14ac:dyDescent="0.25">
      <c r="A948" s="6" t="s">
        <v>33</v>
      </c>
      <c r="B948" s="5">
        <v>45811</v>
      </c>
      <c r="C948" s="6" t="s">
        <v>1337</v>
      </c>
      <c r="D948" s="6" t="s">
        <v>14</v>
      </c>
      <c r="E948" s="6" t="s">
        <v>16</v>
      </c>
      <c r="F948" s="45">
        <v>1575</v>
      </c>
      <c r="G948" s="6" t="s">
        <v>15</v>
      </c>
      <c r="H948" s="6"/>
      <c r="I948" s="16" t="s">
        <v>83</v>
      </c>
    </row>
    <row r="949" spans="1:9" x14ac:dyDescent="0.25">
      <c r="A949" s="6" t="s">
        <v>33</v>
      </c>
      <c r="B949" s="5">
        <v>45811</v>
      </c>
      <c r="C949" s="6" t="s">
        <v>1338</v>
      </c>
      <c r="D949" s="6" t="s">
        <v>14</v>
      </c>
      <c r="E949" s="6" t="s">
        <v>10</v>
      </c>
      <c r="F949" s="45">
        <v>68.965517241379317</v>
      </c>
      <c r="G949" s="6" t="s">
        <v>8</v>
      </c>
      <c r="H949" s="6"/>
      <c r="I949" s="16" t="s">
        <v>83</v>
      </c>
    </row>
    <row r="950" spans="1:9" x14ac:dyDescent="0.25">
      <c r="A950" s="6" t="s">
        <v>33</v>
      </c>
      <c r="B950" s="5">
        <v>45812</v>
      </c>
      <c r="C950" s="6" t="s">
        <v>1339</v>
      </c>
      <c r="D950" s="6" t="s">
        <v>1239</v>
      </c>
      <c r="E950" s="6" t="s">
        <v>1268</v>
      </c>
      <c r="F950" s="45">
        <v>5331</v>
      </c>
      <c r="G950" s="6" t="s">
        <v>968</v>
      </c>
      <c r="H950" s="6" t="s">
        <v>37</v>
      </c>
      <c r="I950" s="16" t="s">
        <v>83</v>
      </c>
    </row>
    <row r="951" spans="1:9" x14ac:dyDescent="0.25">
      <c r="A951" s="6" t="s">
        <v>33</v>
      </c>
      <c r="B951" s="5">
        <v>45812</v>
      </c>
      <c r="C951" s="6" t="s">
        <v>1340</v>
      </c>
      <c r="D951" s="6" t="s">
        <v>1239</v>
      </c>
      <c r="E951" s="6" t="s">
        <v>10</v>
      </c>
      <c r="F951" s="45">
        <v>250.00000000000003</v>
      </c>
      <c r="G951" s="6" t="s">
        <v>968</v>
      </c>
      <c r="H951" s="6"/>
      <c r="I951" s="16" t="s">
        <v>83</v>
      </c>
    </row>
    <row r="952" spans="1:9" x14ac:dyDescent="0.25">
      <c r="A952" s="6" t="s">
        <v>33</v>
      </c>
      <c r="B952" s="5">
        <v>45814</v>
      </c>
      <c r="C952" s="6" t="s">
        <v>1341</v>
      </c>
      <c r="D952" s="6" t="s">
        <v>14</v>
      </c>
      <c r="E952" s="6" t="s">
        <v>10</v>
      </c>
      <c r="F952" s="45">
        <v>518</v>
      </c>
      <c r="G952" s="6" t="s">
        <v>8</v>
      </c>
      <c r="H952" s="6"/>
      <c r="I952" s="16" t="s">
        <v>83</v>
      </c>
    </row>
    <row r="953" spans="1:9" x14ac:dyDescent="0.25">
      <c r="A953" s="6" t="s">
        <v>33</v>
      </c>
      <c r="B953" s="5">
        <v>45814</v>
      </c>
      <c r="C953" s="6" t="s">
        <v>1342</v>
      </c>
      <c r="D953" s="6" t="s">
        <v>1343</v>
      </c>
      <c r="E953" s="6" t="s">
        <v>10</v>
      </c>
      <c r="F953" s="45">
        <v>2068.9655172413795</v>
      </c>
      <c r="G953" s="6" t="s">
        <v>8</v>
      </c>
      <c r="H953" s="6"/>
      <c r="I953" s="16" t="s">
        <v>83</v>
      </c>
    </row>
    <row r="954" spans="1:9" x14ac:dyDescent="0.25">
      <c r="A954" s="6" t="s">
        <v>33</v>
      </c>
      <c r="B954" s="5">
        <v>45814</v>
      </c>
      <c r="C954" s="6" t="s">
        <v>1344</v>
      </c>
      <c r="D954" s="6" t="s">
        <v>1345</v>
      </c>
      <c r="E954" s="6" t="s">
        <v>16</v>
      </c>
      <c r="F954" s="45">
        <v>16697.853448275862</v>
      </c>
      <c r="G954" s="6" t="s">
        <v>968</v>
      </c>
      <c r="H954" s="6"/>
      <c r="I954" s="16" t="s">
        <v>83</v>
      </c>
    </row>
    <row r="955" spans="1:9" x14ac:dyDescent="0.25">
      <c r="A955" s="6" t="s">
        <v>33</v>
      </c>
      <c r="B955" s="5">
        <v>45814</v>
      </c>
      <c r="C955" s="6" t="s">
        <v>1346</v>
      </c>
      <c r="D955" s="6" t="s">
        <v>967</v>
      </c>
      <c r="E955" s="6" t="s">
        <v>18</v>
      </c>
      <c r="F955" s="45">
        <v>8810.0000000000018</v>
      </c>
      <c r="G955" s="6" t="s">
        <v>968</v>
      </c>
      <c r="H955" s="6"/>
      <c r="I955" s="16" t="s">
        <v>83</v>
      </c>
    </row>
    <row r="956" spans="1:9" x14ac:dyDescent="0.25">
      <c r="A956" s="6" t="s">
        <v>33</v>
      </c>
      <c r="B956" s="5">
        <v>45814</v>
      </c>
      <c r="C956" s="6" t="s">
        <v>1347</v>
      </c>
      <c r="D956" s="6" t="s">
        <v>1348</v>
      </c>
      <c r="E956" s="6" t="s">
        <v>23</v>
      </c>
      <c r="F956" s="45">
        <v>20700</v>
      </c>
      <c r="G956" s="6" t="s">
        <v>968</v>
      </c>
      <c r="H956" s="6" t="s">
        <v>52</v>
      </c>
      <c r="I956" s="16" t="s">
        <v>83</v>
      </c>
    </row>
    <row r="957" spans="1:9" x14ac:dyDescent="0.25">
      <c r="A957" s="6" t="s">
        <v>33</v>
      </c>
      <c r="B957" s="5">
        <v>45814</v>
      </c>
      <c r="C957" s="6" t="s">
        <v>1349</v>
      </c>
      <c r="D957" s="6" t="s">
        <v>53</v>
      </c>
      <c r="E957" s="6" t="s">
        <v>23</v>
      </c>
      <c r="F957" s="45">
        <v>22680</v>
      </c>
      <c r="G957" s="6" t="s">
        <v>13</v>
      </c>
      <c r="H957" s="6" t="s">
        <v>1350</v>
      </c>
      <c r="I957" s="16" t="s">
        <v>83</v>
      </c>
    </row>
    <row r="958" spans="1:9" x14ac:dyDescent="0.25">
      <c r="A958" s="6" t="s">
        <v>33</v>
      </c>
      <c r="B958" s="5">
        <v>45817</v>
      </c>
      <c r="C958" s="6" t="s">
        <v>1351</v>
      </c>
      <c r="D958" s="6" t="s">
        <v>22</v>
      </c>
      <c r="E958" s="6" t="s">
        <v>18</v>
      </c>
      <c r="F958" s="45">
        <v>8910.0000000000018</v>
      </c>
      <c r="G958" s="6" t="s">
        <v>34</v>
      </c>
      <c r="H958" s="6"/>
      <c r="I958" s="16" t="s">
        <v>83</v>
      </c>
    </row>
    <row r="959" spans="1:9" x14ac:dyDescent="0.25">
      <c r="A959" s="6" t="s">
        <v>33</v>
      </c>
      <c r="B959" s="5">
        <v>45817</v>
      </c>
      <c r="C959" s="6" t="s">
        <v>1352</v>
      </c>
      <c r="D959" s="6" t="s">
        <v>22</v>
      </c>
      <c r="E959" s="6" t="s">
        <v>18</v>
      </c>
      <c r="F959" s="45">
        <v>96.301724137931032</v>
      </c>
      <c r="G959" s="6" t="s">
        <v>34</v>
      </c>
      <c r="H959" s="6"/>
      <c r="I959" s="16" t="s">
        <v>83</v>
      </c>
    </row>
    <row r="960" spans="1:9" x14ac:dyDescent="0.25">
      <c r="A960" s="6" t="s">
        <v>33</v>
      </c>
      <c r="B960" s="5">
        <v>45817</v>
      </c>
      <c r="C960" s="6" t="s">
        <v>1353</v>
      </c>
      <c r="D960" s="6" t="s">
        <v>22</v>
      </c>
      <c r="E960" s="6" t="s">
        <v>18</v>
      </c>
      <c r="F960" s="45">
        <v>760.5</v>
      </c>
      <c r="G960" s="6" t="s">
        <v>34</v>
      </c>
      <c r="H960" s="6"/>
      <c r="I960" s="16" t="s">
        <v>83</v>
      </c>
    </row>
    <row r="961" spans="1:9" x14ac:dyDescent="0.25">
      <c r="A961" s="6" t="s">
        <v>33</v>
      </c>
      <c r="B961" s="5">
        <v>45817</v>
      </c>
      <c r="C961" s="6" t="s">
        <v>1354</v>
      </c>
      <c r="D961" s="7" t="s">
        <v>14</v>
      </c>
      <c r="E961" s="6" t="s">
        <v>10</v>
      </c>
      <c r="F961" s="45">
        <v>172.41379310344828</v>
      </c>
      <c r="G961" s="7" t="s">
        <v>8</v>
      </c>
      <c r="H961" s="6"/>
      <c r="I961" s="16" t="s">
        <v>83</v>
      </c>
    </row>
    <row r="962" spans="1:9" x14ac:dyDescent="0.25">
      <c r="A962" s="6" t="s">
        <v>33</v>
      </c>
      <c r="B962" s="5">
        <v>45818</v>
      </c>
      <c r="C962" s="6" t="s">
        <v>1355</v>
      </c>
      <c r="D962" s="6" t="s">
        <v>22</v>
      </c>
      <c r="E962" s="6" t="s">
        <v>18</v>
      </c>
      <c r="F962" s="45">
        <v>2182.5</v>
      </c>
      <c r="G962" s="6" t="s">
        <v>34</v>
      </c>
      <c r="H962" s="6"/>
      <c r="I962" s="16" t="s">
        <v>83</v>
      </c>
    </row>
    <row r="963" spans="1:9" x14ac:dyDescent="0.25">
      <c r="A963" s="6" t="s">
        <v>33</v>
      </c>
      <c r="B963" s="5">
        <v>45821</v>
      </c>
      <c r="C963" s="6" t="s">
        <v>1356</v>
      </c>
      <c r="D963" s="6" t="s">
        <v>14</v>
      </c>
      <c r="E963" s="6" t="s">
        <v>10</v>
      </c>
      <c r="F963" s="45">
        <v>474.13793103448279</v>
      </c>
      <c r="G963" s="6" t="s">
        <v>8</v>
      </c>
      <c r="H963" s="6"/>
      <c r="I963" s="16" t="s">
        <v>83</v>
      </c>
    </row>
    <row r="964" spans="1:9" x14ac:dyDescent="0.25">
      <c r="A964" s="6" t="s">
        <v>33</v>
      </c>
      <c r="B964" s="5">
        <v>45822</v>
      </c>
      <c r="C964" s="6" t="s">
        <v>1357</v>
      </c>
      <c r="D964" s="6" t="s">
        <v>1348</v>
      </c>
      <c r="E964" s="6" t="s">
        <v>10</v>
      </c>
      <c r="F964" s="45">
        <v>150</v>
      </c>
      <c r="G964" s="6" t="s">
        <v>968</v>
      </c>
      <c r="H964" s="6"/>
      <c r="I964" s="16" t="s">
        <v>83</v>
      </c>
    </row>
    <row r="965" spans="1:9" x14ac:dyDescent="0.25">
      <c r="A965" s="6" t="s">
        <v>33</v>
      </c>
      <c r="B965" s="5">
        <v>45824</v>
      </c>
      <c r="C965" s="6" t="s">
        <v>1358</v>
      </c>
      <c r="D965" s="6" t="s">
        <v>1359</v>
      </c>
      <c r="E965" s="6" t="s">
        <v>1360</v>
      </c>
      <c r="F965" s="45">
        <v>107735.00000000001</v>
      </c>
      <c r="G965" s="6" t="s">
        <v>13</v>
      </c>
      <c r="H965" s="6" t="s">
        <v>1361</v>
      </c>
      <c r="I965" s="16" t="s">
        <v>83</v>
      </c>
    </row>
    <row r="966" spans="1:9" x14ac:dyDescent="0.25">
      <c r="A966" s="6" t="s">
        <v>33</v>
      </c>
      <c r="B966" s="5">
        <v>45824</v>
      </c>
      <c r="C966" s="6" t="s">
        <v>1362</v>
      </c>
      <c r="D966" s="6" t="s">
        <v>1239</v>
      </c>
      <c r="E966" s="6" t="s">
        <v>10</v>
      </c>
      <c r="F966" s="45">
        <v>7794.0000000000009</v>
      </c>
      <c r="G966" s="6" t="s">
        <v>968</v>
      </c>
      <c r="H966" s="6"/>
      <c r="I966" s="16" t="s">
        <v>83</v>
      </c>
    </row>
    <row r="967" spans="1:9" x14ac:dyDescent="0.25">
      <c r="A967" s="6" t="s">
        <v>33</v>
      </c>
      <c r="B967" s="5">
        <v>45824</v>
      </c>
      <c r="C967" s="6" t="s">
        <v>1363</v>
      </c>
      <c r="D967" s="6" t="s">
        <v>1364</v>
      </c>
      <c r="E967" s="6" t="s">
        <v>16</v>
      </c>
      <c r="F967" s="45">
        <v>2493.0000000000005</v>
      </c>
      <c r="G967" s="6" t="s">
        <v>15</v>
      </c>
      <c r="H967" s="6"/>
      <c r="I967" s="16" t="s">
        <v>83</v>
      </c>
    </row>
    <row r="968" spans="1:9" x14ac:dyDescent="0.25">
      <c r="A968" s="6" t="s">
        <v>33</v>
      </c>
      <c r="B968" s="5">
        <v>45824</v>
      </c>
      <c r="C968" s="6" t="s">
        <v>1365</v>
      </c>
      <c r="D968" s="6" t="s">
        <v>14</v>
      </c>
      <c r="E968" s="6" t="s">
        <v>16</v>
      </c>
      <c r="F968" s="45">
        <v>2488</v>
      </c>
      <c r="G968" s="6" t="s">
        <v>15</v>
      </c>
      <c r="H968" s="6"/>
      <c r="I968" s="16" t="s">
        <v>83</v>
      </c>
    </row>
    <row r="969" spans="1:9" x14ac:dyDescent="0.25">
      <c r="A969" s="6" t="s">
        <v>33</v>
      </c>
      <c r="B969" s="5">
        <v>45826</v>
      </c>
      <c r="C969" s="6" t="s">
        <v>1366</v>
      </c>
      <c r="D969" s="6" t="s">
        <v>14</v>
      </c>
      <c r="E969" s="6" t="s">
        <v>10</v>
      </c>
      <c r="F969" s="45">
        <v>418.10344827586209</v>
      </c>
      <c r="G969" s="6" t="s">
        <v>8</v>
      </c>
      <c r="H969" s="6"/>
      <c r="I969" s="16" t="s">
        <v>83</v>
      </c>
    </row>
    <row r="970" spans="1:9" x14ac:dyDescent="0.25">
      <c r="A970" s="6" t="s">
        <v>33</v>
      </c>
      <c r="B970" s="5">
        <v>45826</v>
      </c>
      <c r="C970" s="6" t="s">
        <v>1367</v>
      </c>
      <c r="D970" s="6" t="s">
        <v>14</v>
      </c>
      <c r="E970" s="6" t="s">
        <v>11</v>
      </c>
      <c r="F970" s="45">
        <v>258.62068965517244</v>
      </c>
      <c r="G970" s="6" t="s">
        <v>15</v>
      </c>
      <c r="H970" s="6"/>
      <c r="I970" s="16" t="s">
        <v>83</v>
      </c>
    </row>
    <row r="971" spans="1:9" x14ac:dyDescent="0.25">
      <c r="A971" s="6" t="s">
        <v>33</v>
      </c>
      <c r="B971" s="5">
        <v>45826</v>
      </c>
      <c r="C971" s="6" t="s">
        <v>1368</v>
      </c>
      <c r="D971" s="6" t="s">
        <v>14</v>
      </c>
      <c r="E971" s="6" t="s">
        <v>16</v>
      </c>
      <c r="F971" s="45">
        <v>2406</v>
      </c>
      <c r="G971" s="6" t="s">
        <v>15</v>
      </c>
      <c r="H971" s="6"/>
      <c r="I971" s="16" t="s">
        <v>83</v>
      </c>
    </row>
    <row r="972" spans="1:9" x14ac:dyDescent="0.25">
      <c r="A972" s="6" t="s">
        <v>33</v>
      </c>
      <c r="B972" s="5">
        <v>45826</v>
      </c>
      <c r="C972" s="6" t="s">
        <v>1369</v>
      </c>
      <c r="D972" s="6" t="s">
        <v>1370</v>
      </c>
      <c r="E972" s="6"/>
      <c r="F972" s="45">
        <v>0</v>
      </c>
      <c r="G972" s="6"/>
      <c r="H972" s="6"/>
      <c r="I972" s="16" t="s">
        <v>83</v>
      </c>
    </row>
    <row r="973" spans="1:9" x14ac:dyDescent="0.25">
      <c r="A973" s="6" t="s">
        <v>33</v>
      </c>
      <c r="B973" s="5">
        <v>45827</v>
      </c>
      <c r="C973" s="6" t="s">
        <v>1371</v>
      </c>
      <c r="D973" s="6" t="s">
        <v>1303</v>
      </c>
      <c r="E973" s="6" t="s">
        <v>16</v>
      </c>
      <c r="F973" s="45">
        <v>9998.5862068965525</v>
      </c>
      <c r="G973" s="6" t="s">
        <v>47</v>
      </c>
      <c r="H973" s="6"/>
      <c r="I973" s="16" t="s">
        <v>83</v>
      </c>
    </row>
    <row r="974" spans="1:9" x14ac:dyDescent="0.25">
      <c r="A974" s="6" t="s">
        <v>33</v>
      </c>
      <c r="B974" s="5">
        <v>45828</v>
      </c>
      <c r="C974" s="6" t="s">
        <v>1372</v>
      </c>
      <c r="D974" s="6" t="s">
        <v>14</v>
      </c>
      <c r="E974" s="6" t="s">
        <v>16</v>
      </c>
      <c r="F974" s="45">
        <v>1868.0000000000002</v>
      </c>
      <c r="G974" s="6" t="s">
        <v>15</v>
      </c>
      <c r="H974" s="6"/>
      <c r="I974" s="16" t="s">
        <v>83</v>
      </c>
    </row>
    <row r="975" spans="1:9" x14ac:dyDescent="0.25">
      <c r="A975" s="6" t="s">
        <v>33</v>
      </c>
      <c r="B975" s="5">
        <v>45828</v>
      </c>
      <c r="C975" s="6" t="s">
        <v>1373</v>
      </c>
      <c r="D975" s="6" t="s">
        <v>14</v>
      </c>
      <c r="E975" s="6" t="s">
        <v>16</v>
      </c>
      <c r="F975" s="45">
        <v>1860</v>
      </c>
      <c r="G975" s="6" t="s">
        <v>15</v>
      </c>
      <c r="H975" s="6"/>
      <c r="I975" s="16" t="s">
        <v>83</v>
      </c>
    </row>
    <row r="976" spans="1:9" x14ac:dyDescent="0.25">
      <c r="A976" s="6" t="s">
        <v>33</v>
      </c>
      <c r="B976" s="5">
        <v>45828</v>
      </c>
      <c r="C976" s="6" t="s">
        <v>1374</v>
      </c>
      <c r="D976" s="6" t="s">
        <v>14</v>
      </c>
      <c r="E976" s="6" t="s">
        <v>16</v>
      </c>
      <c r="F976" s="45">
        <v>1295.0000000000002</v>
      </c>
      <c r="G976" s="6" t="s">
        <v>15</v>
      </c>
      <c r="H976" s="6"/>
      <c r="I976" s="16" t="s">
        <v>83</v>
      </c>
    </row>
    <row r="977" spans="1:9" x14ac:dyDescent="0.25">
      <c r="A977" s="6" t="s">
        <v>33</v>
      </c>
      <c r="B977" s="5">
        <v>45828</v>
      </c>
      <c r="C977" s="6" t="s">
        <v>1375</v>
      </c>
      <c r="D977" s="6" t="s">
        <v>1348</v>
      </c>
      <c r="E977" s="6" t="s">
        <v>10</v>
      </c>
      <c r="F977" s="45">
        <v>150</v>
      </c>
      <c r="G977" s="6" t="s">
        <v>968</v>
      </c>
      <c r="H977" s="6"/>
      <c r="I977" s="16" t="s">
        <v>83</v>
      </c>
    </row>
    <row r="978" spans="1:9" x14ac:dyDescent="0.25">
      <c r="A978" s="6" t="s">
        <v>33</v>
      </c>
      <c r="B978" s="5">
        <v>45828</v>
      </c>
      <c r="C978" s="6" t="s">
        <v>1376</v>
      </c>
      <c r="D978" s="6" t="s">
        <v>22</v>
      </c>
      <c r="E978" s="6" t="s">
        <v>10</v>
      </c>
      <c r="F978" s="45">
        <v>2232</v>
      </c>
      <c r="G978" s="6" t="s">
        <v>34</v>
      </c>
      <c r="H978" s="6"/>
      <c r="I978" s="16" t="s">
        <v>83</v>
      </c>
    </row>
    <row r="979" spans="1:9" x14ac:dyDescent="0.25">
      <c r="A979" s="6" t="s">
        <v>33</v>
      </c>
      <c r="B979" s="5">
        <v>45828</v>
      </c>
      <c r="C979" s="6" t="s">
        <v>1377</v>
      </c>
      <c r="D979" s="6" t="s">
        <v>22</v>
      </c>
      <c r="E979" s="6" t="s">
        <v>10</v>
      </c>
      <c r="F979" s="45">
        <v>3015.0000000000005</v>
      </c>
      <c r="G979" s="6" t="s">
        <v>34</v>
      </c>
      <c r="H979" s="6"/>
      <c r="I979" s="16" t="s">
        <v>83</v>
      </c>
    </row>
    <row r="980" spans="1:9" x14ac:dyDescent="0.25">
      <c r="A980" s="6" t="s">
        <v>33</v>
      </c>
      <c r="B980" s="5">
        <v>45829</v>
      </c>
      <c r="C980" s="6" t="s">
        <v>1378</v>
      </c>
      <c r="D980" s="6" t="s">
        <v>1379</v>
      </c>
      <c r="E980" s="6" t="s">
        <v>10</v>
      </c>
      <c r="F980" s="45">
        <v>991.37931034482767</v>
      </c>
      <c r="G980" s="6" t="s">
        <v>8</v>
      </c>
      <c r="H980" s="6"/>
      <c r="I980" s="16" t="s">
        <v>83</v>
      </c>
    </row>
    <row r="981" spans="1:9" x14ac:dyDescent="0.25">
      <c r="A981" s="6" t="s">
        <v>33</v>
      </c>
      <c r="B981" s="5">
        <v>45831</v>
      </c>
      <c r="C981" s="6" t="s">
        <v>1380</v>
      </c>
      <c r="D981" s="6" t="s">
        <v>967</v>
      </c>
      <c r="E981" s="6" t="s">
        <v>18</v>
      </c>
      <c r="F981" s="45">
        <v>5820</v>
      </c>
      <c r="G981" s="6" t="s">
        <v>968</v>
      </c>
      <c r="H981" s="6"/>
      <c r="I981" s="16" t="s">
        <v>83</v>
      </c>
    </row>
    <row r="982" spans="1:9" x14ac:dyDescent="0.25">
      <c r="A982" s="6" t="s">
        <v>33</v>
      </c>
      <c r="B982" s="5">
        <v>45833</v>
      </c>
      <c r="C982" s="6" t="s">
        <v>1381</v>
      </c>
      <c r="D982" s="7" t="s">
        <v>22</v>
      </c>
      <c r="E982" s="6"/>
      <c r="F982" s="45">
        <v>0</v>
      </c>
      <c r="G982" s="7"/>
      <c r="H982" s="6"/>
      <c r="I982" s="16" t="s">
        <v>83</v>
      </c>
    </row>
    <row r="983" spans="1:9" x14ac:dyDescent="0.25">
      <c r="A983" s="6" t="s">
        <v>33</v>
      </c>
      <c r="B983" s="5">
        <v>45833</v>
      </c>
      <c r="C983" s="6" t="s">
        <v>1382</v>
      </c>
      <c r="D983" s="6" t="s">
        <v>1370</v>
      </c>
      <c r="E983" s="6"/>
      <c r="F983" s="45">
        <v>0</v>
      </c>
      <c r="G983" s="6"/>
      <c r="H983" s="6"/>
      <c r="I983" s="16" t="s">
        <v>83</v>
      </c>
    </row>
    <row r="984" spans="1:9" x14ac:dyDescent="0.25">
      <c r="A984" s="6" t="s">
        <v>33</v>
      </c>
      <c r="B984" s="5">
        <v>45834</v>
      </c>
      <c r="C984" s="6" t="s">
        <v>1383</v>
      </c>
      <c r="D984" s="6" t="s">
        <v>22</v>
      </c>
      <c r="E984" s="6" t="s">
        <v>18</v>
      </c>
      <c r="F984" s="45">
        <v>1620.0000000000002</v>
      </c>
      <c r="G984" s="6" t="s">
        <v>34</v>
      </c>
      <c r="H984" s="6"/>
      <c r="I984" s="16" t="s">
        <v>83</v>
      </c>
    </row>
    <row r="985" spans="1:9" x14ac:dyDescent="0.25">
      <c r="A985" s="6" t="s">
        <v>33</v>
      </c>
      <c r="B985" s="5">
        <v>45834</v>
      </c>
      <c r="C985" s="6" t="s">
        <v>1384</v>
      </c>
      <c r="D985" s="6" t="s">
        <v>1385</v>
      </c>
      <c r="E985" s="6" t="s">
        <v>10</v>
      </c>
      <c r="F985" s="45">
        <v>301.72413793103448</v>
      </c>
      <c r="G985" s="6" t="s">
        <v>8</v>
      </c>
      <c r="H985" s="6"/>
      <c r="I985" s="16" t="s">
        <v>83</v>
      </c>
    </row>
    <row r="986" spans="1:9" x14ac:dyDescent="0.25">
      <c r="A986" s="6" t="s">
        <v>33</v>
      </c>
      <c r="B986" s="5">
        <v>45834</v>
      </c>
      <c r="C986" s="6" t="s">
        <v>1386</v>
      </c>
      <c r="D986" s="6" t="s">
        <v>1387</v>
      </c>
      <c r="E986" s="6" t="s">
        <v>23</v>
      </c>
      <c r="F986" s="45">
        <v>13816</v>
      </c>
      <c r="G986" s="6" t="s">
        <v>13</v>
      </c>
      <c r="H986" s="6" t="s">
        <v>1143</v>
      </c>
      <c r="I986" s="16" t="s">
        <v>83</v>
      </c>
    </row>
    <row r="987" spans="1:9" x14ac:dyDescent="0.25">
      <c r="A987" s="6" t="s">
        <v>33</v>
      </c>
      <c r="B987" s="5">
        <v>45834</v>
      </c>
      <c r="C987" s="6" t="s">
        <v>1388</v>
      </c>
      <c r="D987" s="6" t="s">
        <v>22</v>
      </c>
      <c r="E987" s="6"/>
      <c r="F987" s="45">
        <v>0</v>
      </c>
      <c r="G987" s="6"/>
      <c r="H987" s="6"/>
      <c r="I987" s="16" t="s">
        <v>83</v>
      </c>
    </row>
    <row r="988" spans="1:9" x14ac:dyDescent="0.25">
      <c r="A988" s="6" t="s">
        <v>33</v>
      </c>
      <c r="B988" s="5">
        <v>45835</v>
      </c>
      <c r="C988" s="6" t="s">
        <v>1389</v>
      </c>
      <c r="D988" s="6" t="s">
        <v>14</v>
      </c>
      <c r="E988" s="6" t="s">
        <v>16</v>
      </c>
      <c r="F988" s="45">
        <v>1564.0000000000002</v>
      </c>
      <c r="G988" s="6" t="s">
        <v>15</v>
      </c>
      <c r="H988" s="6"/>
      <c r="I988" s="16" t="s">
        <v>83</v>
      </c>
    </row>
    <row r="989" spans="1:9" x14ac:dyDescent="0.25">
      <c r="A989" s="6" t="s">
        <v>33</v>
      </c>
      <c r="B989" s="5">
        <v>45838</v>
      </c>
      <c r="C989" s="6" t="s">
        <v>1390</v>
      </c>
      <c r="D989" s="6" t="s">
        <v>22</v>
      </c>
      <c r="E989" s="6" t="s">
        <v>23</v>
      </c>
      <c r="F989" s="45">
        <v>15480</v>
      </c>
      <c r="G989" s="6" t="s">
        <v>34</v>
      </c>
      <c r="H989" s="6" t="s">
        <v>1391</v>
      </c>
      <c r="I989" s="16" t="s">
        <v>83</v>
      </c>
    </row>
    <row r="990" spans="1:9" x14ac:dyDescent="0.25">
      <c r="A990" s="6" t="s">
        <v>33</v>
      </c>
      <c r="B990" s="5">
        <v>45838</v>
      </c>
      <c r="C990" s="6" t="s">
        <v>1392</v>
      </c>
      <c r="D990" s="6" t="s">
        <v>22</v>
      </c>
      <c r="E990" s="6" t="s">
        <v>23</v>
      </c>
      <c r="F990" s="45">
        <v>5130.0000000000009</v>
      </c>
      <c r="G990" s="6" t="s">
        <v>34</v>
      </c>
      <c r="H990" s="6" t="s">
        <v>54</v>
      </c>
      <c r="I990" s="16" t="s">
        <v>83</v>
      </c>
    </row>
    <row r="991" spans="1:9" x14ac:dyDescent="0.25">
      <c r="A991" s="6" t="s">
        <v>33</v>
      </c>
      <c r="B991" s="5">
        <v>45838</v>
      </c>
      <c r="C991" s="6" t="s">
        <v>1393</v>
      </c>
      <c r="D991" s="6" t="s">
        <v>14</v>
      </c>
      <c r="E991" s="6" t="s">
        <v>18</v>
      </c>
      <c r="F991" s="45">
        <v>146.55172413793105</v>
      </c>
      <c r="G991" s="6" t="s">
        <v>8</v>
      </c>
      <c r="H991" s="6"/>
      <c r="I991" s="16" t="s">
        <v>83</v>
      </c>
    </row>
    <row r="992" spans="1:9" x14ac:dyDescent="0.25">
      <c r="A992" s="6" t="s">
        <v>33</v>
      </c>
      <c r="B992" s="5">
        <v>45838</v>
      </c>
      <c r="C992" s="6" t="s">
        <v>1394</v>
      </c>
      <c r="D992" s="6" t="s">
        <v>14</v>
      </c>
      <c r="E992" s="6" t="s">
        <v>11</v>
      </c>
      <c r="F992" s="45">
        <v>258.62068965517244</v>
      </c>
      <c r="G992" s="6" t="s">
        <v>15</v>
      </c>
      <c r="H992" s="6"/>
      <c r="I992" s="16" t="s">
        <v>83</v>
      </c>
    </row>
    <row r="993" spans="1:10" x14ac:dyDescent="0.25">
      <c r="A993" s="6" t="s">
        <v>33</v>
      </c>
      <c r="B993" s="5">
        <v>45838</v>
      </c>
      <c r="C993" s="6" t="s">
        <v>1395</v>
      </c>
      <c r="D993" s="6" t="s">
        <v>1396</v>
      </c>
      <c r="E993" s="6" t="s">
        <v>16</v>
      </c>
      <c r="F993" s="45">
        <v>14964.000000000002</v>
      </c>
      <c r="G993" s="6" t="s">
        <v>13</v>
      </c>
      <c r="H993" s="6"/>
      <c r="I993" s="16" t="s">
        <v>83</v>
      </c>
    </row>
    <row r="994" spans="1:10" x14ac:dyDescent="0.25">
      <c r="A994" s="6" t="s">
        <v>33</v>
      </c>
      <c r="B994" s="5">
        <v>45838</v>
      </c>
      <c r="C994" s="6" t="s">
        <v>1397</v>
      </c>
      <c r="D994" s="6" t="s">
        <v>22</v>
      </c>
      <c r="E994" s="6" t="s">
        <v>10</v>
      </c>
      <c r="F994" s="45">
        <v>126.76724137931036</v>
      </c>
      <c r="G994" s="6" t="s">
        <v>34</v>
      </c>
      <c r="H994" s="6"/>
      <c r="I994" s="16" t="s">
        <v>83</v>
      </c>
    </row>
    <row r="995" spans="1:10" x14ac:dyDescent="0.25">
      <c r="A995" s="6" t="s">
        <v>33</v>
      </c>
      <c r="B995" s="5">
        <v>45838</v>
      </c>
      <c r="C995" s="6" t="s">
        <v>1398</v>
      </c>
      <c r="D995" s="6" t="s">
        <v>1370</v>
      </c>
      <c r="E995" s="6"/>
      <c r="F995" s="45">
        <v>0</v>
      </c>
      <c r="G995" s="6"/>
      <c r="H995" s="6"/>
      <c r="I995" s="16" t="s">
        <v>83</v>
      </c>
    </row>
    <row r="996" spans="1:10" x14ac:dyDescent="0.25">
      <c r="A996" s="6" t="s">
        <v>33</v>
      </c>
      <c r="B996" s="5">
        <v>45841</v>
      </c>
      <c r="C996" s="6" t="s">
        <v>1399</v>
      </c>
      <c r="D996" s="6" t="s">
        <v>1400</v>
      </c>
      <c r="E996" s="6" t="s">
        <v>10</v>
      </c>
      <c r="F996" s="45">
        <v>1465.5172413793105</v>
      </c>
      <c r="G996" s="6" t="s">
        <v>8</v>
      </c>
      <c r="H996" s="6"/>
      <c r="I996" s="16" t="s">
        <v>83</v>
      </c>
    </row>
    <row r="997" spans="1:10" x14ac:dyDescent="0.25">
      <c r="A997" s="6" t="s">
        <v>33</v>
      </c>
      <c r="B997" s="5">
        <v>45841</v>
      </c>
      <c r="C997" s="6" t="s">
        <v>1401</v>
      </c>
      <c r="D997" s="6" t="s">
        <v>1402</v>
      </c>
      <c r="E997" s="6" t="s">
        <v>10</v>
      </c>
      <c r="F997" s="45">
        <v>1465.5172413793105</v>
      </c>
      <c r="G997" s="6" t="s">
        <v>15</v>
      </c>
      <c r="H997" s="6"/>
      <c r="I997" s="16" t="s">
        <v>83</v>
      </c>
    </row>
    <row r="998" spans="1:10" x14ac:dyDescent="0.25">
      <c r="A998" s="20" t="s">
        <v>33</v>
      </c>
      <c r="B998" s="19">
        <v>45842</v>
      </c>
      <c r="C998" s="20" t="s">
        <v>1403</v>
      </c>
      <c r="D998" s="20" t="s">
        <v>22</v>
      </c>
      <c r="E998" s="20" t="s">
        <v>23</v>
      </c>
      <c r="F998" s="47">
        <v>33500</v>
      </c>
      <c r="G998" s="20" t="s">
        <v>47</v>
      </c>
      <c r="H998" s="20" t="s">
        <v>1404</v>
      </c>
      <c r="I998" s="66" t="s">
        <v>83</v>
      </c>
      <c r="J998" s="52" t="s">
        <v>2030</v>
      </c>
    </row>
    <row r="999" spans="1:10" x14ac:dyDescent="0.25">
      <c r="A999" s="20" t="s">
        <v>33</v>
      </c>
      <c r="B999" s="19">
        <v>45842</v>
      </c>
      <c r="C999" s="20" t="s">
        <v>1405</v>
      </c>
      <c r="D999" s="20" t="s">
        <v>22</v>
      </c>
      <c r="E999" s="20" t="s">
        <v>20</v>
      </c>
      <c r="F999" s="47">
        <v>4266.5258620689656</v>
      </c>
      <c r="G999" s="20" t="s">
        <v>1406</v>
      </c>
      <c r="H999" s="20" t="s">
        <v>37</v>
      </c>
      <c r="I999" s="66" t="s">
        <v>83</v>
      </c>
      <c r="J999" s="52" t="s">
        <v>2031</v>
      </c>
    </row>
    <row r="1000" spans="1:10" x14ac:dyDescent="0.25">
      <c r="A1000" s="6" t="s">
        <v>33</v>
      </c>
      <c r="B1000" s="5">
        <v>45842</v>
      </c>
      <c r="C1000" s="6" t="s">
        <v>1407</v>
      </c>
      <c r="D1000" s="6" t="s">
        <v>1239</v>
      </c>
      <c r="E1000" s="6" t="s">
        <v>18</v>
      </c>
      <c r="F1000" s="45">
        <v>2696.0000000000005</v>
      </c>
      <c r="G1000" s="6" t="s">
        <v>968</v>
      </c>
      <c r="H1000" s="6"/>
      <c r="I1000" s="16" t="s">
        <v>83</v>
      </c>
    </row>
    <row r="1001" spans="1:10" x14ac:dyDescent="0.25">
      <c r="A1001" s="6" t="s">
        <v>33</v>
      </c>
      <c r="B1001" s="5">
        <v>45842</v>
      </c>
      <c r="C1001" s="6" t="s">
        <v>1408</v>
      </c>
      <c r="D1001" s="6" t="s">
        <v>1409</v>
      </c>
      <c r="E1001" s="6" t="s">
        <v>16</v>
      </c>
      <c r="F1001" s="45">
        <v>8348</v>
      </c>
      <c r="G1001" s="6" t="s">
        <v>968</v>
      </c>
      <c r="H1001" s="6"/>
      <c r="I1001" s="16" t="s">
        <v>83</v>
      </c>
    </row>
    <row r="1002" spans="1:10" x14ac:dyDescent="0.25">
      <c r="A1002" s="6" t="s">
        <v>33</v>
      </c>
      <c r="B1002" s="5">
        <v>45843</v>
      </c>
      <c r="C1002" s="6" t="s">
        <v>1410</v>
      </c>
      <c r="D1002" s="6" t="s">
        <v>14</v>
      </c>
      <c r="E1002" s="6" t="s">
        <v>10</v>
      </c>
      <c r="F1002" s="45">
        <v>943.96551724137942</v>
      </c>
      <c r="G1002" s="6" t="s">
        <v>8</v>
      </c>
      <c r="H1002" s="6"/>
      <c r="I1002" s="16" t="s">
        <v>83</v>
      </c>
    </row>
    <row r="1003" spans="1:10" x14ac:dyDescent="0.25">
      <c r="A1003" s="6" t="s">
        <v>33</v>
      </c>
      <c r="B1003" s="5">
        <v>45843</v>
      </c>
      <c r="C1003" s="6" t="s">
        <v>1411</v>
      </c>
      <c r="D1003" s="6" t="s">
        <v>14</v>
      </c>
      <c r="E1003" s="6" t="s">
        <v>10</v>
      </c>
      <c r="F1003" s="45">
        <v>129.31034482758622</v>
      </c>
      <c r="G1003" s="6" t="s">
        <v>8</v>
      </c>
      <c r="H1003" s="6"/>
      <c r="I1003" s="16" t="s">
        <v>83</v>
      </c>
    </row>
    <row r="1004" spans="1:10" x14ac:dyDescent="0.25">
      <c r="A1004" s="6" t="s">
        <v>33</v>
      </c>
      <c r="B1004" s="5">
        <v>45845</v>
      </c>
      <c r="C1004" s="6" t="s">
        <v>1412</v>
      </c>
      <c r="D1004" s="6" t="s">
        <v>22</v>
      </c>
      <c r="E1004" s="6" t="s">
        <v>18</v>
      </c>
      <c r="F1004" s="45">
        <v>396.00000000000006</v>
      </c>
      <c r="G1004" s="6" t="s">
        <v>34</v>
      </c>
      <c r="H1004" s="6"/>
      <c r="I1004" s="16" t="s">
        <v>83</v>
      </c>
    </row>
    <row r="1005" spans="1:10" x14ac:dyDescent="0.25">
      <c r="A1005" s="6" t="s">
        <v>33</v>
      </c>
      <c r="B1005" s="5">
        <v>45845</v>
      </c>
      <c r="C1005" s="6" t="s">
        <v>1413</v>
      </c>
      <c r="D1005" s="6" t="s">
        <v>1414</v>
      </c>
      <c r="E1005" s="6" t="s">
        <v>23</v>
      </c>
      <c r="F1005" s="45">
        <v>13816</v>
      </c>
      <c r="G1005" s="6" t="s">
        <v>13</v>
      </c>
      <c r="H1005" s="6" t="s">
        <v>1143</v>
      </c>
      <c r="I1005" s="16" t="s">
        <v>83</v>
      </c>
    </row>
    <row r="1006" spans="1:10" x14ac:dyDescent="0.25">
      <c r="A1006" s="6" t="s">
        <v>33</v>
      </c>
      <c r="B1006" s="5">
        <v>45846</v>
      </c>
      <c r="C1006" s="6" t="s">
        <v>1415</v>
      </c>
      <c r="D1006" s="6" t="s">
        <v>1416</v>
      </c>
      <c r="E1006" s="6" t="s">
        <v>10</v>
      </c>
      <c r="F1006" s="45">
        <v>387.93103448275866</v>
      </c>
      <c r="G1006" s="6" t="s">
        <v>8</v>
      </c>
      <c r="H1006" s="6"/>
      <c r="I1006" s="16" t="s">
        <v>83</v>
      </c>
    </row>
    <row r="1007" spans="1:10" x14ac:dyDescent="0.25">
      <c r="A1007" s="6" t="s">
        <v>33</v>
      </c>
      <c r="B1007" s="5">
        <v>45846</v>
      </c>
      <c r="C1007" s="6" t="s">
        <v>1417</v>
      </c>
      <c r="D1007" s="6" t="s">
        <v>14</v>
      </c>
      <c r="E1007" s="6" t="s">
        <v>16</v>
      </c>
      <c r="F1007" s="45">
        <v>1694</v>
      </c>
      <c r="G1007" s="6" t="s">
        <v>15</v>
      </c>
      <c r="H1007" s="6"/>
      <c r="I1007" s="16" t="s">
        <v>83</v>
      </c>
    </row>
    <row r="1008" spans="1:10" x14ac:dyDescent="0.25">
      <c r="A1008" s="6" t="s">
        <v>33</v>
      </c>
      <c r="B1008" s="5">
        <v>45847</v>
      </c>
      <c r="C1008" s="6" t="s">
        <v>1418</v>
      </c>
      <c r="D1008" s="6" t="s">
        <v>1419</v>
      </c>
      <c r="E1008" s="6" t="s">
        <v>11</v>
      </c>
      <c r="F1008" s="45">
        <v>431.04310344827587</v>
      </c>
      <c r="G1008" s="6" t="s">
        <v>15</v>
      </c>
      <c r="H1008" s="6"/>
      <c r="I1008" s="16" t="s">
        <v>83</v>
      </c>
    </row>
    <row r="1009" spans="1:10" x14ac:dyDescent="0.25">
      <c r="A1009" s="20" t="s">
        <v>33</v>
      </c>
      <c r="B1009" s="19">
        <v>45847</v>
      </c>
      <c r="C1009" s="20" t="s">
        <v>1420</v>
      </c>
      <c r="D1009" s="20" t="s">
        <v>22</v>
      </c>
      <c r="E1009" s="20" t="s">
        <v>23</v>
      </c>
      <c r="F1009" s="47">
        <v>26500.000000000004</v>
      </c>
      <c r="G1009" s="20" t="s">
        <v>13</v>
      </c>
      <c r="H1009" s="20" t="s">
        <v>1421</v>
      </c>
      <c r="I1009" s="66" t="s">
        <v>83</v>
      </c>
      <c r="J1009" s="52" t="s">
        <v>2032</v>
      </c>
    </row>
    <row r="1010" spans="1:10" x14ac:dyDescent="0.25">
      <c r="A1010" s="6" t="s">
        <v>33</v>
      </c>
      <c r="B1010" s="5">
        <v>45847</v>
      </c>
      <c r="C1010" s="6" t="s">
        <v>1422</v>
      </c>
      <c r="D1010" s="6" t="s">
        <v>1423</v>
      </c>
      <c r="E1010" s="6" t="s">
        <v>1268</v>
      </c>
      <c r="F1010" s="45">
        <v>2000.0000000000002</v>
      </c>
      <c r="G1010" s="6" t="s">
        <v>8</v>
      </c>
      <c r="H1010" s="6" t="s">
        <v>50</v>
      </c>
      <c r="I1010" s="16" t="s">
        <v>83</v>
      </c>
    </row>
    <row r="1011" spans="1:10" x14ac:dyDescent="0.25">
      <c r="A1011" s="6" t="s">
        <v>33</v>
      </c>
      <c r="B1011" s="5">
        <v>45847</v>
      </c>
      <c r="C1011" s="6" t="s">
        <v>1424</v>
      </c>
      <c r="D1011" s="6" t="s">
        <v>1425</v>
      </c>
      <c r="E1011" s="6" t="s">
        <v>16</v>
      </c>
      <c r="F1011" s="45">
        <v>2556</v>
      </c>
      <c r="G1011" s="6" t="s">
        <v>15</v>
      </c>
      <c r="H1011" s="6"/>
      <c r="I1011" s="16" t="s">
        <v>83</v>
      </c>
    </row>
    <row r="1012" spans="1:10" x14ac:dyDescent="0.25">
      <c r="A1012" s="6" t="s">
        <v>33</v>
      </c>
      <c r="B1012" s="5">
        <v>45848</v>
      </c>
      <c r="C1012" s="6" t="s">
        <v>1426</v>
      </c>
      <c r="D1012" s="6" t="s">
        <v>14</v>
      </c>
      <c r="E1012" s="6" t="s">
        <v>16</v>
      </c>
      <c r="F1012" s="45">
        <v>3302.0000000000005</v>
      </c>
      <c r="G1012" s="6" t="s">
        <v>15</v>
      </c>
      <c r="H1012" s="6"/>
      <c r="I1012" s="16" t="s">
        <v>83</v>
      </c>
    </row>
    <row r="1013" spans="1:10" x14ac:dyDescent="0.25">
      <c r="A1013" s="6" t="s">
        <v>33</v>
      </c>
      <c r="B1013" s="5">
        <v>45849</v>
      </c>
      <c r="C1013" s="6" t="s">
        <v>1427</v>
      </c>
      <c r="D1013" s="6" t="s">
        <v>14</v>
      </c>
      <c r="E1013" s="6" t="s">
        <v>10</v>
      </c>
      <c r="F1013" s="45">
        <v>129.31034482758622</v>
      </c>
      <c r="G1013" s="6" t="s">
        <v>8</v>
      </c>
      <c r="H1013" s="6"/>
      <c r="I1013" s="16" t="s">
        <v>83</v>
      </c>
    </row>
    <row r="1014" spans="1:10" x14ac:dyDescent="0.25">
      <c r="A1014" s="6" t="s">
        <v>33</v>
      </c>
      <c r="B1014" s="5">
        <v>45853</v>
      </c>
      <c r="C1014" s="6" t="s">
        <v>1428</v>
      </c>
      <c r="D1014" s="6" t="s">
        <v>14</v>
      </c>
      <c r="E1014" s="6" t="s">
        <v>27</v>
      </c>
      <c r="F1014" s="45">
        <v>387.93103448275866</v>
      </c>
      <c r="G1014" s="6" t="s">
        <v>968</v>
      </c>
      <c r="H1014" s="6"/>
      <c r="I1014" s="16" t="s">
        <v>83</v>
      </c>
    </row>
    <row r="1015" spans="1:10" x14ac:dyDescent="0.25">
      <c r="A1015" s="6" t="s">
        <v>33</v>
      </c>
      <c r="B1015" s="5">
        <v>45860</v>
      </c>
      <c r="C1015" s="6" t="s">
        <v>1429</v>
      </c>
      <c r="D1015" s="6" t="s">
        <v>1430</v>
      </c>
      <c r="E1015" s="6" t="s">
        <v>23</v>
      </c>
      <c r="F1015" s="45">
        <v>60800.000000000007</v>
      </c>
      <c r="G1015" s="6" t="s">
        <v>968</v>
      </c>
      <c r="H1015" s="6" t="s">
        <v>55</v>
      </c>
      <c r="I1015" s="16" t="s">
        <v>83</v>
      </c>
    </row>
    <row r="1016" spans="1:10" x14ac:dyDescent="0.25">
      <c r="A1016" s="6" t="s">
        <v>33</v>
      </c>
      <c r="B1016" s="5">
        <v>45861</v>
      </c>
      <c r="C1016" s="6" t="s">
        <v>1431</v>
      </c>
      <c r="D1016" s="6" t="s">
        <v>14</v>
      </c>
      <c r="E1016" s="6" t="s">
        <v>27</v>
      </c>
      <c r="F1016" s="45">
        <v>530</v>
      </c>
      <c r="G1016" s="6" t="s">
        <v>15</v>
      </c>
      <c r="H1016" s="6"/>
      <c r="I1016" s="16" t="s">
        <v>83</v>
      </c>
    </row>
    <row r="1017" spans="1:10" x14ac:dyDescent="0.25">
      <c r="A1017" s="6" t="s">
        <v>33</v>
      </c>
      <c r="B1017" s="5">
        <v>45861</v>
      </c>
      <c r="C1017" s="6" t="s">
        <v>1432</v>
      </c>
      <c r="D1017" s="6" t="s">
        <v>1433</v>
      </c>
      <c r="E1017" s="6" t="s">
        <v>20</v>
      </c>
      <c r="F1017" s="45">
        <v>3188.7931034482763</v>
      </c>
      <c r="G1017" s="6" t="s">
        <v>8</v>
      </c>
      <c r="H1017" s="6" t="s">
        <v>44</v>
      </c>
      <c r="I1017" s="16" t="s">
        <v>83</v>
      </c>
    </row>
    <row r="1018" spans="1:10" x14ac:dyDescent="0.25">
      <c r="A1018" s="6" t="s">
        <v>33</v>
      </c>
      <c r="B1018" s="5">
        <v>45862</v>
      </c>
      <c r="C1018" s="6" t="s">
        <v>1434</v>
      </c>
      <c r="D1018" s="6" t="s">
        <v>14</v>
      </c>
      <c r="E1018" s="6" t="s">
        <v>10</v>
      </c>
      <c r="F1018" s="45">
        <v>224.13793103448276</v>
      </c>
      <c r="G1018" s="6" t="s">
        <v>8</v>
      </c>
      <c r="H1018" s="6"/>
      <c r="I1018" s="16" t="s">
        <v>83</v>
      </c>
    </row>
    <row r="1019" spans="1:10" x14ac:dyDescent="0.25">
      <c r="A1019" s="6" t="s">
        <v>33</v>
      </c>
      <c r="B1019" s="5">
        <v>45862</v>
      </c>
      <c r="C1019" s="6" t="s">
        <v>1435</v>
      </c>
      <c r="D1019" s="6" t="s">
        <v>22</v>
      </c>
      <c r="E1019" s="6" t="s">
        <v>18</v>
      </c>
      <c r="F1019" s="45">
        <v>5112</v>
      </c>
      <c r="G1019" s="6" t="s">
        <v>34</v>
      </c>
      <c r="H1019" s="6"/>
      <c r="I1019" s="16" t="s">
        <v>83</v>
      </c>
    </row>
    <row r="1020" spans="1:10" x14ac:dyDescent="0.25">
      <c r="A1020" s="6" t="s">
        <v>33</v>
      </c>
      <c r="B1020" s="5">
        <v>45862</v>
      </c>
      <c r="C1020" s="6" t="s">
        <v>1436</v>
      </c>
      <c r="D1020" s="6" t="s">
        <v>14</v>
      </c>
      <c r="E1020" s="6" t="s">
        <v>16</v>
      </c>
      <c r="F1020" s="45">
        <v>706.00000000000011</v>
      </c>
      <c r="G1020" s="6" t="s">
        <v>15</v>
      </c>
      <c r="H1020" s="6"/>
      <c r="I1020" s="16" t="s">
        <v>83</v>
      </c>
    </row>
    <row r="1021" spans="1:10" x14ac:dyDescent="0.25">
      <c r="A1021" s="6" t="s">
        <v>33</v>
      </c>
      <c r="B1021" s="5">
        <v>45862</v>
      </c>
      <c r="C1021" s="6" t="s">
        <v>1437</v>
      </c>
      <c r="D1021" s="6" t="s">
        <v>14</v>
      </c>
      <c r="E1021" s="6" t="s">
        <v>16</v>
      </c>
      <c r="F1021" s="45">
        <v>2648</v>
      </c>
      <c r="G1021" s="6" t="s">
        <v>15</v>
      </c>
      <c r="H1021" s="6"/>
      <c r="I1021" s="16" t="s">
        <v>83</v>
      </c>
    </row>
    <row r="1022" spans="1:10" x14ac:dyDescent="0.25">
      <c r="A1022" s="6" t="s">
        <v>33</v>
      </c>
      <c r="B1022" s="5">
        <v>45863</v>
      </c>
      <c r="C1022" s="6" t="s">
        <v>1438</v>
      </c>
      <c r="D1022" s="6" t="s">
        <v>1439</v>
      </c>
      <c r="E1022" s="6" t="s">
        <v>23</v>
      </c>
      <c r="F1022" s="45">
        <v>22176</v>
      </c>
      <c r="G1022" s="6" t="s">
        <v>13</v>
      </c>
      <c r="H1022" s="6" t="s">
        <v>39</v>
      </c>
      <c r="I1022" s="16" t="s">
        <v>83</v>
      </c>
    </row>
    <row r="1023" spans="1:10" x14ac:dyDescent="0.25">
      <c r="A1023" s="6" t="s">
        <v>33</v>
      </c>
      <c r="B1023" s="5">
        <v>45867</v>
      </c>
      <c r="C1023" s="6" t="s">
        <v>1440</v>
      </c>
      <c r="D1023" s="6" t="s">
        <v>22</v>
      </c>
      <c r="E1023" s="6" t="s">
        <v>10</v>
      </c>
      <c r="F1023" s="45">
        <v>8820.0000000000018</v>
      </c>
      <c r="G1023" s="6" t="s">
        <v>34</v>
      </c>
      <c r="H1023" s="6"/>
      <c r="I1023" s="16" t="s">
        <v>83</v>
      </c>
    </row>
    <row r="1024" spans="1:10" x14ac:dyDescent="0.25">
      <c r="A1024" s="6" t="s">
        <v>33</v>
      </c>
      <c r="B1024" s="5">
        <v>45867</v>
      </c>
      <c r="C1024" s="6" t="s">
        <v>1441</v>
      </c>
      <c r="D1024" s="6" t="s">
        <v>22</v>
      </c>
      <c r="E1024" s="6" t="s">
        <v>18</v>
      </c>
      <c r="F1024" s="45">
        <v>661.50000000000011</v>
      </c>
      <c r="G1024" s="6" t="s">
        <v>34</v>
      </c>
      <c r="H1024" s="6"/>
      <c r="I1024" s="16" t="s">
        <v>83</v>
      </c>
    </row>
    <row r="1025" spans="1:9" x14ac:dyDescent="0.25">
      <c r="A1025" s="6" t="s">
        <v>33</v>
      </c>
      <c r="B1025" s="5">
        <v>45868</v>
      </c>
      <c r="C1025" s="6" t="s">
        <v>1442</v>
      </c>
      <c r="D1025" s="6" t="s">
        <v>22</v>
      </c>
      <c r="E1025" s="6"/>
      <c r="F1025" s="45">
        <v>0</v>
      </c>
      <c r="G1025" s="6"/>
      <c r="H1025" s="6"/>
      <c r="I1025" s="16" t="s">
        <v>83</v>
      </c>
    </row>
    <row r="1026" spans="1:9" x14ac:dyDescent="0.25">
      <c r="A1026" s="6" t="s">
        <v>33</v>
      </c>
      <c r="B1026" s="5">
        <v>45868</v>
      </c>
      <c r="C1026" s="6" t="s">
        <v>1443</v>
      </c>
      <c r="D1026" s="6" t="s">
        <v>14</v>
      </c>
      <c r="E1026" s="6" t="s">
        <v>10</v>
      </c>
      <c r="F1026" s="45">
        <v>129.31034482758622</v>
      </c>
      <c r="G1026" s="6" t="s">
        <v>8</v>
      </c>
      <c r="H1026" s="6"/>
      <c r="I1026" s="16" t="s">
        <v>83</v>
      </c>
    </row>
    <row r="1027" spans="1:9" x14ac:dyDescent="0.25">
      <c r="A1027" s="6" t="s">
        <v>33</v>
      </c>
      <c r="B1027" s="5">
        <v>45868</v>
      </c>
      <c r="C1027" s="6" t="s">
        <v>1444</v>
      </c>
      <c r="D1027" s="6" t="s">
        <v>1445</v>
      </c>
      <c r="E1027" s="6" t="s">
        <v>23</v>
      </c>
      <c r="F1027" s="45">
        <v>95679.310344827594</v>
      </c>
      <c r="G1027" s="6" t="s">
        <v>968</v>
      </c>
      <c r="H1027" s="6" t="s">
        <v>1446</v>
      </c>
      <c r="I1027" s="16" t="s">
        <v>83</v>
      </c>
    </row>
    <row r="1028" spans="1:9" x14ac:dyDescent="0.25">
      <c r="A1028" s="6" t="s">
        <v>33</v>
      </c>
      <c r="B1028" s="5">
        <v>45868</v>
      </c>
      <c r="C1028" s="6" t="s">
        <v>1447</v>
      </c>
      <c r="D1028" s="6" t="s">
        <v>1348</v>
      </c>
      <c r="E1028" s="6" t="s">
        <v>20</v>
      </c>
      <c r="F1028" s="45">
        <v>2369</v>
      </c>
      <c r="G1028" s="6" t="s">
        <v>968</v>
      </c>
      <c r="H1028" s="6" t="s">
        <v>1448</v>
      </c>
      <c r="I1028" s="16" t="s">
        <v>83</v>
      </c>
    </row>
    <row r="1029" spans="1:9" x14ac:dyDescent="0.25">
      <c r="A1029" s="6" t="s">
        <v>33</v>
      </c>
      <c r="B1029" s="5">
        <v>45869</v>
      </c>
      <c r="C1029" s="6" t="s">
        <v>1449</v>
      </c>
      <c r="D1029" s="6" t="s">
        <v>1450</v>
      </c>
      <c r="E1029" s="6" t="s">
        <v>23</v>
      </c>
      <c r="F1029" s="45">
        <v>13816</v>
      </c>
      <c r="G1029" s="6" t="s">
        <v>13</v>
      </c>
      <c r="H1029" s="6" t="s">
        <v>1143</v>
      </c>
      <c r="I1029" s="16" t="s">
        <v>83</v>
      </c>
    </row>
    <row r="1030" spans="1:9" x14ac:dyDescent="0.25">
      <c r="A1030" s="6" t="s">
        <v>33</v>
      </c>
      <c r="B1030" s="5">
        <v>45869</v>
      </c>
      <c r="C1030" s="6" t="s">
        <v>1451</v>
      </c>
      <c r="D1030" s="7" t="s">
        <v>1450</v>
      </c>
      <c r="E1030" s="6" t="s">
        <v>23</v>
      </c>
      <c r="F1030" s="45">
        <v>22176</v>
      </c>
      <c r="G1030" s="7" t="s">
        <v>13</v>
      </c>
      <c r="H1030" s="6" t="s">
        <v>39</v>
      </c>
      <c r="I1030" s="16" t="s">
        <v>83</v>
      </c>
    </row>
    <row r="1031" spans="1:9" x14ac:dyDescent="0.25">
      <c r="A1031" s="6" t="s">
        <v>33</v>
      </c>
      <c r="B1031" s="5">
        <v>45869</v>
      </c>
      <c r="C1031" s="6" t="s">
        <v>1452</v>
      </c>
      <c r="D1031" s="6" t="s">
        <v>1239</v>
      </c>
      <c r="E1031" s="6" t="s">
        <v>18</v>
      </c>
      <c r="F1031" s="45">
        <v>891</v>
      </c>
      <c r="G1031" s="6" t="s">
        <v>968</v>
      </c>
      <c r="H1031" s="6"/>
      <c r="I1031" s="16" t="s">
        <v>83</v>
      </c>
    </row>
    <row r="1032" spans="1:9" x14ac:dyDescent="0.25">
      <c r="A1032" s="6" t="s">
        <v>33</v>
      </c>
      <c r="B1032" s="5">
        <v>45869</v>
      </c>
      <c r="C1032" s="6" t="s">
        <v>1453</v>
      </c>
      <c r="D1032" s="6" t="s">
        <v>14</v>
      </c>
      <c r="E1032" s="6" t="s">
        <v>10</v>
      </c>
      <c r="F1032" s="45">
        <v>77.603448275862064</v>
      </c>
      <c r="G1032" s="6" t="s">
        <v>8</v>
      </c>
      <c r="H1032" s="6"/>
      <c r="I1032" s="16" t="s">
        <v>83</v>
      </c>
    </row>
    <row r="1033" spans="1:9" x14ac:dyDescent="0.25">
      <c r="A1033" s="6" t="s">
        <v>33</v>
      </c>
      <c r="B1033" s="5">
        <v>45869</v>
      </c>
      <c r="C1033" s="6" t="s">
        <v>1454</v>
      </c>
      <c r="D1033" s="6" t="s">
        <v>1455</v>
      </c>
      <c r="E1033" s="6" t="s">
        <v>18</v>
      </c>
      <c r="F1033" s="45">
        <v>517.24137931034488</v>
      </c>
      <c r="G1033" s="6" t="s">
        <v>15</v>
      </c>
      <c r="H1033" s="6"/>
      <c r="I1033" s="16" t="s">
        <v>83</v>
      </c>
    </row>
    <row r="1034" spans="1:9" x14ac:dyDescent="0.25">
      <c r="A1034" s="6" t="s">
        <v>33</v>
      </c>
      <c r="B1034" s="5">
        <v>45869</v>
      </c>
      <c r="C1034" s="6" t="s">
        <v>1456</v>
      </c>
      <c r="D1034" s="6" t="s">
        <v>1457</v>
      </c>
      <c r="E1034" s="6" t="s">
        <v>10</v>
      </c>
      <c r="F1034" s="45">
        <v>6430.0000000000009</v>
      </c>
      <c r="G1034" s="6" t="s">
        <v>968</v>
      </c>
      <c r="H1034" s="6"/>
      <c r="I1034" s="16" t="s">
        <v>83</v>
      </c>
    </row>
    <row r="1035" spans="1:9" x14ac:dyDescent="0.25">
      <c r="A1035" s="6" t="s">
        <v>33</v>
      </c>
      <c r="B1035" s="5">
        <v>45869</v>
      </c>
      <c r="C1035" s="6" t="s">
        <v>1458</v>
      </c>
      <c r="D1035" s="6" t="s">
        <v>1239</v>
      </c>
      <c r="E1035" s="6" t="s">
        <v>10</v>
      </c>
      <c r="F1035" s="45">
        <v>5067.0000000000009</v>
      </c>
      <c r="G1035" s="6" t="s">
        <v>968</v>
      </c>
      <c r="H1035" s="6"/>
      <c r="I1035" s="16" t="s">
        <v>83</v>
      </c>
    </row>
    <row r="1036" spans="1:9" x14ac:dyDescent="0.25">
      <c r="A1036" s="6" t="s">
        <v>33</v>
      </c>
      <c r="B1036" s="5">
        <v>45869</v>
      </c>
      <c r="C1036" s="6" t="s">
        <v>1459</v>
      </c>
      <c r="D1036" s="6" t="s">
        <v>22</v>
      </c>
      <c r="E1036" s="6" t="s">
        <v>18</v>
      </c>
      <c r="F1036" s="45">
        <v>45.000000000000007</v>
      </c>
      <c r="G1036" s="6" t="s">
        <v>34</v>
      </c>
      <c r="H1036" s="6"/>
      <c r="I1036" s="16" t="s">
        <v>83</v>
      </c>
    </row>
    <row r="1037" spans="1:9" x14ac:dyDescent="0.25">
      <c r="A1037" s="6" t="s">
        <v>33</v>
      </c>
      <c r="B1037" s="5">
        <v>45869</v>
      </c>
      <c r="C1037" s="6" t="s">
        <v>1460</v>
      </c>
      <c r="D1037" s="6" t="s">
        <v>22</v>
      </c>
      <c r="E1037" s="6" t="s">
        <v>18</v>
      </c>
      <c r="F1037" s="45">
        <v>4130.1034482758623</v>
      </c>
      <c r="G1037" s="6" t="s">
        <v>34</v>
      </c>
      <c r="H1037" s="6"/>
      <c r="I1037" s="16" t="s">
        <v>83</v>
      </c>
    </row>
    <row r="1038" spans="1:9" x14ac:dyDescent="0.25">
      <c r="A1038" s="6" t="s">
        <v>33</v>
      </c>
      <c r="B1038" s="5">
        <v>45869</v>
      </c>
      <c r="C1038" s="6" t="s">
        <v>1461</v>
      </c>
      <c r="D1038" s="6" t="s">
        <v>22</v>
      </c>
      <c r="E1038" s="6" t="s">
        <v>18</v>
      </c>
      <c r="F1038" s="45">
        <v>8446.5000000000018</v>
      </c>
      <c r="G1038" s="6" t="s">
        <v>34</v>
      </c>
      <c r="H1038" s="6"/>
      <c r="I1038" s="16" t="s">
        <v>83</v>
      </c>
    </row>
    <row r="1039" spans="1:9" x14ac:dyDescent="0.25">
      <c r="A1039" s="6" t="s">
        <v>33</v>
      </c>
      <c r="B1039" s="5">
        <v>45869</v>
      </c>
      <c r="C1039" s="6" t="s">
        <v>1462</v>
      </c>
      <c r="D1039" s="6" t="s">
        <v>14</v>
      </c>
      <c r="E1039" s="6" t="s">
        <v>16</v>
      </c>
      <c r="F1039" s="45">
        <v>2593.1034482758623</v>
      </c>
      <c r="G1039" s="6" t="s">
        <v>15</v>
      </c>
      <c r="H1039" s="6"/>
      <c r="I1039" s="16" t="s">
        <v>83</v>
      </c>
    </row>
    <row r="1040" spans="1:9" x14ac:dyDescent="0.25">
      <c r="A1040" s="6" t="s">
        <v>33</v>
      </c>
      <c r="B1040" s="5">
        <v>45869</v>
      </c>
      <c r="C1040" s="6" t="s">
        <v>1463</v>
      </c>
      <c r="D1040" s="6" t="s">
        <v>30</v>
      </c>
      <c r="E1040" s="6"/>
      <c r="F1040" s="45">
        <v>0</v>
      </c>
      <c r="G1040" s="6"/>
      <c r="H1040" s="6"/>
      <c r="I1040" s="16" t="s">
        <v>83</v>
      </c>
    </row>
    <row r="1041" spans="1:9" x14ac:dyDescent="0.25">
      <c r="A1041" s="6" t="s">
        <v>33</v>
      </c>
      <c r="B1041" s="5">
        <v>45869</v>
      </c>
      <c r="C1041" s="6" t="s">
        <v>1464</v>
      </c>
      <c r="D1041" s="6" t="s">
        <v>30</v>
      </c>
      <c r="E1041" s="6"/>
      <c r="F1041" s="45">
        <v>0</v>
      </c>
      <c r="G1041" s="6"/>
      <c r="H1041" s="6"/>
      <c r="I1041" s="16" t="s">
        <v>83</v>
      </c>
    </row>
    <row r="1042" spans="1:9" x14ac:dyDescent="0.25">
      <c r="A1042" s="6" t="s">
        <v>33</v>
      </c>
      <c r="B1042" s="5">
        <v>45869</v>
      </c>
      <c r="C1042" s="6" t="s">
        <v>1465</v>
      </c>
      <c r="D1042" s="6" t="s">
        <v>30</v>
      </c>
      <c r="E1042" s="6"/>
      <c r="F1042" s="45">
        <v>0</v>
      </c>
      <c r="G1042" s="6"/>
      <c r="H1042" s="6"/>
      <c r="I1042" s="16" t="s">
        <v>83</v>
      </c>
    </row>
    <row r="1043" spans="1:9" x14ac:dyDescent="0.25">
      <c r="A1043" s="6" t="s">
        <v>33</v>
      </c>
      <c r="B1043" s="5">
        <v>45869</v>
      </c>
      <c r="C1043" s="6" t="s">
        <v>1466</v>
      </c>
      <c r="D1043" s="6" t="s">
        <v>1467</v>
      </c>
      <c r="E1043" s="6" t="s">
        <v>10</v>
      </c>
      <c r="F1043" s="45">
        <v>1900</v>
      </c>
      <c r="G1043" s="6" t="s">
        <v>8</v>
      </c>
      <c r="H1043" s="6"/>
      <c r="I1043" s="16" t="s">
        <v>83</v>
      </c>
    </row>
    <row r="1044" spans="1:9" x14ac:dyDescent="0.25">
      <c r="A1044" s="6" t="s">
        <v>33</v>
      </c>
      <c r="B1044" s="5">
        <v>45873</v>
      </c>
      <c r="C1044" s="6" t="s">
        <v>1468</v>
      </c>
      <c r="D1044" s="6" t="s">
        <v>1469</v>
      </c>
      <c r="E1044" s="6" t="s">
        <v>10</v>
      </c>
      <c r="F1044" s="45">
        <v>425.17241379310349</v>
      </c>
      <c r="G1044" s="6" t="s">
        <v>34</v>
      </c>
      <c r="H1044" s="6"/>
      <c r="I1044" s="16" t="s">
        <v>83</v>
      </c>
    </row>
    <row r="1045" spans="1:9" x14ac:dyDescent="0.25">
      <c r="A1045" s="6" t="s">
        <v>33</v>
      </c>
      <c r="B1045" s="5">
        <v>45873</v>
      </c>
      <c r="C1045" s="6" t="s">
        <v>1470</v>
      </c>
      <c r="D1045" s="6" t="s">
        <v>1087</v>
      </c>
      <c r="E1045" s="6" t="s">
        <v>10</v>
      </c>
      <c r="F1045" s="45">
        <v>1520.0000000000002</v>
      </c>
      <c r="G1045" s="6" t="s">
        <v>968</v>
      </c>
      <c r="H1045" s="6"/>
      <c r="I1045" s="16" t="s">
        <v>83</v>
      </c>
    </row>
    <row r="1046" spans="1:9" x14ac:dyDescent="0.25">
      <c r="A1046" s="6" t="s">
        <v>33</v>
      </c>
      <c r="B1046" s="5">
        <v>45873</v>
      </c>
      <c r="C1046" s="6" t="s">
        <v>1471</v>
      </c>
      <c r="D1046" s="6" t="s">
        <v>1472</v>
      </c>
      <c r="E1046" s="6" t="s">
        <v>16</v>
      </c>
      <c r="F1046" s="45">
        <v>21922.000000000004</v>
      </c>
      <c r="G1046" s="6" t="s">
        <v>15</v>
      </c>
      <c r="H1046" s="6"/>
      <c r="I1046" s="16" t="s">
        <v>83</v>
      </c>
    </row>
    <row r="1047" spans="1:9" x14ac:dyDescent="0.25">
      <c r="A1047" s="6" t="s">
        <v>33</v>
      </c>
      <c r="B1047" s="5">
        <v>45873</v>
      </c>
      <c r="C1047" s="6" t="s">
        <v>1473</v>
      </c>
      <c r="D1047" s="6" t="s">
        <v>14</v>
      </c>
      <c r="E1047" s="6" t="s">
        <v>16</v>
      </c>
      <c r="F1047" s="45">
        <v>1985</v>
      </c>
      <c r="G1047" s="6" t="s">
        <v>15</v>
      </c>
      <c r="H1047" s="6"/>
      <c r="I1047" s="16" t="s">
        <v>83</v>
      </c>
    </row>
    <row r="1048" spans="1:9" x14ac:dyDescent="0.25">
      <c r="A1048" s="6" t="s">
        <v>33</v>
      </c>
      <c r="B1048" s="5">
        <v>45874</v>
      </c>
      <c r="C1048" s="6" t="s">
        <v>1474</v>
      </c>
      <c r="D1048" s="6" t="s">
        <v>14</v>
      </c>
      <c r="E1048" s="6" t="s">
        <v>27</v>
      </c>
      <c r="F1048" s="45">
        <v>530</v>
      </c>
      <c r="G1048" s="6" t="s">
        <v>15</v>
      </c>
      <c r="H1048" s="6"/>
      <c r="I1048" s="16" t="s">
        <v>83</v>
      </c>
    </row>
    <row r="1049" spans="1:9" x14ac:dyDescent="0.25">
      <c r="A1049" s="6" t="s">
        <v>33</v>
      </c>
      <c r="B1049" s="5">
        <v>45876</v>
      </c>
      <c r="C1049" s="6" t="s">
        <v>1475</v>
      </c>
      <c r="D1049" s="6" t="s">
        <v>14</v>
      </c>
      <c r="E1049" s="6" t="s">
        <v>18</v>
      </c>
      <c r="F1049" s="45">
        <v>215.51724137931035</v>
      </c>
      <c r="G1049" s="6" t="s">
        <v>8</v>
      </c>
      <c r="H1049" s="6"/>
      <c r="I1049" s="16" t="s">
        <v>83</v>
      </c>
    </row>
    <row r="1050" spans="1:9" x14ac:dyDescent="0.25">
      <c r="A1050" s="6" t="s">
        <v>33</v>
      </c>
      <c r="B1050" s="5">
        <v>45877</v>
      </c>
      <c r="C1050" s="6" t="s">
        <v>1476</v>
      </c>
      <c r="D1050" s="6" t="s">
        <v>1409</v>
      </c>
      <c r="E1050" s="6" t="s">
        <v>16</v>
      </c>
      <c r="F1050" s="45">
        <v>7160.0000000000009</v>
      </c>
      <c r="G1050" s="6" t="s">
        <v>968</v>
      </c>
      <c r="H1050" s="6"/>
      <c r="I1050" s="16" t="s">
        <v>83</v>
      </c>
    </row>
    <row r="1051" spans="1:9" x14ac:dyDescent="0.25">
      <c r="A1051" s="6" t="s">
        <v>33</v>
      </c>
      <c r="B1051" s="5">
        <v>45877</v>
      </c>
      <c r="C1051" s="6" t="s">
        <v>1477</v>
      </c>
      <c r="D1051" s="6" t="s">
        <v>30</v>
      </c>
      <c r="E1051" s="6"/>
      <c r="F1051" s="45">
        <v>0</v>
      </c>
      <c r="G1051" s="6"/>
      <c r="H1051" s="6"/>
      <c r="I1051" s="16" t="s">
        <v>83</v>
      </c>
    </row>
    <row r="1052" spans="1:9" x14ac:dyDescent="0.25">
      <c r="A1052" s="6" t="s">
        <v>33</v>
      </c>
      <c r="B1052" s="5">
        <v>45880</v>
      </c>
      <c r="C1052" s="6" t="s">
        <v>1478</v>
      </c>
      <c r="D1052" s="6" t="s">
        <v>14</v>
      </c>
      <c r="E1052" s="6" t="s">
        <v>16</v>
      </c>
      <c r="F1052" s="45">
        <v>1508.4137931034484</v>
      </c>
      <c r="G1052" s="6" t="s">
        <v>15</v>
      </c>
      <c r="H1052" s="6"/>
      <c r="I1052" s="16" t="s">
        <v>83</v>
      </c>
    </row>
    <row r="1053" spans="1:9" x14ac:dyDescent="0.25">
      <c r="A1053" s="6" t="s">
        <v>33</v>
      </c>
      <c r="B1053" s="5">
        <v>45880</v>
      </c>
      <c r="C1053" s="6" t="s">
        <v>1479</v>
      </c>
      <c r="D1053" s="6" t="s">
        <v>22</v>
      </c>
      <c r="E1053" s="6" t="s">
        <v>10</v>
      </c>
      <c r="F1053" s="45">
        <v>2610</v>
      </c>
      <c r="G1053" s="6" t="s">
        <v>34</v>
      </c>
      <c r="H1053" s="6"/>
      <c r="I1053" s="16" t="s">
        <v>83</v>
      </c>
    </row>
    <row r="1054" spans="1:9" x14ac:dyDescent="0.25">
      <c r="A1054" s="6" t="s">
        <v>33</v>
      </c>
      <c r="B1054" s="5">
        <v>45880</v>
      </c>
      <c r="C1054" s="6" t="s">
        <v>1480</v>
      </c>
      <c r="D1054" s="6" t="s">
        <v>1481</v>
      </c>
      <c r="E1054" s="6" t="s">
        <v>10</v>
      </c>
      <c r="F1054" s="45">
        <v>1637.9310344827588</v>
      </c>
      <c r="G1054" s="6" t="s">
        <v>8</v>
      </c>
      <c r="H1054" s="6"/>
      <c r="I1054" s="16" t="s">
        <v>83</v>
      </c>
    </row>
    <row r="1055" spans="1:9" x14ac:dyDescent="0.25">
      <c r="A1055" s="6" t="s">
        <v>33</v>
      </c>
      <c r="B1055" s="5">
        <v>45880</v>
      </c>
      <c r="C1055" s="6" t="s">
        <v>1482</v>
      </c>
      <c r="D1055" s="6" t="s">
        <v>14</v>
      </c>
      <c r="E1055" s="6" t="s">
        <v>16</v>
      </c>
      <c r="F1055" s="45">
        <v>2619</v>
      </c>
      <c r="G1055" s="6" t="s">
        <v>15</v>
      </c>
      <c r="H1055" s="6"/>
      <c r="I1055" s="16" t="s">
        <v>83</v>
      </c>
    </row>
    <row r="1056" spans="1:9" x14ac:dyDescent="0.25">
      <c r="A1056" s="6" t="s">
        <v>33</v>
      </c>
      <c r="B1056" s="5">
        <v>45880</v>
      </c>
      <c r="C1056" s="6" t="s">
        <v>1483</v>
      </c>
      <c r="D1056" s="6" t="s">
        <v>14</v>
      </c>
      <c r="E1056" s="6" t="s">
        <v>10</v>
      </c>
      <c r="F1056" s="45">
        <v>1465.5172413793105</v>
      </c>
      <c r="G1056" s="6" t="s">
        <v>8</v>
      </c>
      <c r="H1056" s="6"/>
      <c r="I1056" s="16" t="s">
        <v>83</v>
      </c>
    </row>
    <row r="1057" spans="1:9" x14ac:dyDescent="0.25">
      <c r="A1057" s="6" t="s">
        <v>33</v>
      </c>
      <c r="B1057" s="5">
        <v>45880</v>
      </c>
      <c r="C1057" s="6" t="s">
        <v>1484</v>
      </c>
      <c r="D1057" s="7" t="s">
        <v>14</v>
      </c>
      <c r="E1057" s="6" t="s">
        <v>10</v>
      </c>
      <c r="F1057" s="45">
        <v>301.80172413793105</v>
      </c>
      <c r="G1057" s="7" t="s">
        <v>8</v>
      </c>
      <c r="H1057" s="6"/>
      <c r="I1057" s="16" t="s">
        <v>83</v>
      </c>
    </row>
    <row r="1058" spans="1:9" x14ac:dyDescent="0.25">
      <c r="A1058" s="6" t="s">
        <v>33</v>
      </c>
      <c r="B1058" s="5">
        <v>45883</v>
      </c>
      <c r="C1058" s="6" t="s">
        <v>1485</v>
      </c>
      <c r="D1058" s="6" t="s">
        <v>1486</v>
      </c>
      <c r="E1058" s="6" t="s">
        <v>23</v>
      </c>
      <c r="F1058" s="45">
        <v>22176</v>
      </c>
      <c r="G1058" s="6" t="s">
        <v>13</v>
      </c>
      <c r="H1058" s="6" t="s">
        <v>36</v>
      </c>
      <c r="I1058" s="16" t="s">
        <v>83</v>
      </c>
    </row>
    <row r="1059" spans="1:9" x14ac:dyDescent="0.25">
      <c r="A1059" s="6" t="s">
        <v>33</v>
      </c>
      <c r="B1059" s="5">
        <v>45883</v>
      </c>
      <c r="C1059" s="6" t="s">
        <v>1487</v>
      </c>
      <c r="D1059" s="6" t="s">
        <v>1059</v>
      </c>
      <c r="E1059" s="6" t="s">
        <v>16</v>
      </c>
      <c r="F1059" s="45">
        <v>2608.0000000000005</v>
      </c>
      <c r="G1059" s="6" t="s">
        <v>15</v>
      </c>
      <c r="H1059" s="6"/>
      <c r="I1059" s="16" t="s">
        <v>83</v>
      </c>
    </row>
    <row r="1060" spans="1:9" x14ac:dyDescent="0.25">
      <c r="A1060" s="6" t="s">
        <v>33</v>
      </c>
      <c r="B1060" s="5">
        <v>45883</v>
      </c>
      <c r="C1060" s="6" t="s">
        <v>1488</v>
      </c>
      <c r="D1060" s="6" t="s">
        <v>22</v>
      </c>
      <c r="E1060" s="6"/>
      <c r="F1060" s="45">
        <v>0</v>
      </c>
      <c r="G1060" s="6"/>
      <c r="H1060" s="6"/>
      <c r="I1060" s="16" t="s">
        <v>83</v>
      </c>
    </row>
    <row r="1061" spans="1:9" x14ac:dyDescent="0.25">
      <c r="A1061" s="6" t="s">
        <v>33</v>
      </c>
      <c r="B1061" s="5">
        <v>45884</v>
      </c>
      <c r="C1061" s="6" t="s">
        <v>1489</v>
      </c>
      <c r="D1061" s="6" t="s">
        <v>14</v>
      </c>
      <c r="E1061" s="6" t="s">
        <v>20</v>
      </c>
      <c r="F1061" s="45">
        <v>8102.5862068965525</v>
      </c>
      <c r="G1061" s="6" t="s">
        <v>968</v>
      </c>
      <c r="H1061" s="6" t="s">
        <v>43</v>
      </c>
      <c r="I1061" s="16" t="s">
        <v>83</v>
      </c>
    </row>
    <row r="1062" spans="1:9" x14ac:dyDescent="0.25">
      <c r="A1062" s="6" t="s">
        <v>33</v>
      </c>
      <c r="B1062" s="5">
        <v>45884</v>
      </c>
      <c r="C1062" s="6" t="s">
        <v>1490</v>
      </c>
      <c r="D1062" s="6" t="s">
        <v>14</v>
      </c>
      <c r="E1062" s="6" t="s">
        <v>10</v>
      </c>
      <c r="F1062" s="45">
        <v>1991.3793103448277</v>
      </c>
      <c r="G1062" s="6" t="s">
        <v>8</v>
      </c>
      <c r="H1062" s="6"/>
      <c r="I1062" s="16" t="s">
        <v>83</v>
      </c>
    </row>
    <row r="1063" spans="1:9" x14ac:dyDescent="0.25">
      <c r="A1063" s="6" t="s">
        <v>33</v>
      </c>
      <c r="B1063" s="5">
        <v>45884</v>
      </c>
      <c r="C1063" s="6" t="s">
        <v>1491</v>
      </c>
      <c r="D1063" s="6" t="s">
        <v>14</v>
      </c>
      <c r="E1063" s="6" t="s">
        <v>11</v>
      </c>
      <c r="F1063" s="45">
        <v>258.62068965517244</v>
      </c>
      <c r="G1063" s="6" t="s">
        <v>15</v>
      </c>
      <c r="H1063" s="6"/>
      <c r="I1063" s="16" t="s">
        <v>83</v>
      </c>
    </row>
    <row r="1064" spans="1:9" x14ac:dyDescent="0.25">
      <c r="A1064" s="6" t="s">
        <v>33</v>
      </c>
      <c r="B1064" s="5">
        <v>45884</v>
      </c>
      <c r="C1064" s="6" t="s">
        <v>1492</v>
      </c>
      <c r="D1064" s="6" t="s">
        <v>1493</v>
      </c>
      <c r="E1064" s="6" t="s">
        <v>16</v>
      </c>
      <c r="F1064" s="45">
        <v>2075</v>
      </c>
      <c r="G1064" s="6" t="s">
        <v>15</v>
      </c>
      <c r="H1064" s="6"/>
      <c r="I1064" s="16" t="s">
        <v>83</v>
      </c>
    </row>
    <row r="1065" spans="1:9" x14ac:dyDescent="0.25">
      <c r="A1065" s="6" t="s">
        <v>33</v>
      </c>
      <c r="B1065" s="5">
        <v>45888</v>
      </c>
      <c r="C1065" s="6" t="s">
        <v>1494</v>
      </c>
      <c r="D1065" s="6" t="s">
        <v>14</v>
      </c>
      <c r="E1065" s="6" t="s">
        <v>10</v>
      </c>
      <c r="F1065" s="45">
        <v>775.86206896551732</v>
      </c>
      <c r="G1065" s="6" t="s">
        <v>8</v>
      </c>
      <c r="H1065" s="6"/>
      <c r="I1065" s="16" t="s">
        <v>83</v>
      </c>
    </row>
    <row r="1066" spans="1:9" x14ac:dyDescent="0.25">
      <c r="A1066" s="6" t="s">
        <v>33</v>
      </c>
      <c r="B1066" s="5">
        <v>45888</v>
      </c>
      <c r="C1066" s="6" t="s">
        <v>1495</v>
      </c>
      <c r="D1066" s="6" t="s">
        <v>1239</v>
      </c>
      <c r="E1066" s="6" t="s">
        <v>20</v>
      </c>
      <c r="F1066" s="45">
        <v>10565.517241379312</v>
      </c>
      <c r="G1066" s="6" t="s">
        <v>968</v>
      </c>
      <c r="H1066" s="6" t="s">
        <v>56</v>
      </c>
      <c r="I1066" s="16" t="s">
        <v>83</v>
      </c>
    </row>
    <row r="1067" spans="1:9" x14ac:dyDescent="0.25">
      <c r="A1067" s="6" t="s">
        <v>33</v>
      </c>
      <c r="B1067" s="5">
        <v>45888</v>
      </c>
      <c r="C1067" s="6" t="s">
        <v>1496</v>
      </c>
      <c r="D1067" s="6" t="s">
        <v>941</v>
      </c>
      <c r="E1067" s="6" t="s">
        <v>16</v>
      </c>
      <c r="F1067" s="45">
        <v>7038</v>
      </c>
      <c r="G1067" s="6" t="s">
        <v>968</v>
      </c>
      <c r="H1067" s="6"/>
      <c r="I1067" s="16" t="s">
        <v>83</v>
      </c>
    </row>
    <row r="1068" spans="1:9" x14ac:dyDescent="0.25">
      <c r="A1068" s="6" t="s">
        <v>33</v>
      </c>
      <c r="B1068" s="5">
        <v>45888</v>
      </c>
      <c r="C1068" s="6" t="s">
        <v>1497</v>
      </c>
      <c r="D1068" s="6" t="s">
        <v>941</v>
      </c>
      <c r="E1068" s="6" t="s">
        <v>18</v>
      </c>
      <c r="F1068" s="45">
        <v>1050</v>
      </c>
      <c r="G1068" s="6" t="s">
        <v>968</v>
      </c>
      <c r="H1068" s="6"/>
      <c r="I1068" s="16" t="s">
        <v>83</v>
      </c>
    </row>
    <row r="1069" spans="1:9" x14ac:dyDescent="0.25">
      <c r="A1069" s="6" t="s">
        <v>33</v>
      </c>
      <c r="B1069" s="5">
        <v>45888</v>
      </c>
      <c r="C1069" s="6" t="s">
        <v>1498</v>
      </c>
      <c r="D1069" s="6" t="s">
        <v>941</v>
      </c>
      <c r="E1069" s="6" t="s">
        <v>10</v>
      </c>
      <c r="F1069" s="45">
        <v>3600.0000000000005</v>
      </c>
      <c r="G1069" s="6" t="s">
        <v>968</v>
      </c>
      <c r="H1069" s="6"/>
      <c r="I1069" s="16" t="s">
        <v>83</v>
      </c>
    </row>
    <row r="1070" spans="1:9" x14ac:dyDescent="0.25">
      <c r="A1070" s="6" t="s">
        <v>33</v>
      </c>
      <c r="B1070" s="5">
        <v>45889</v>
      </c>
      <c r="C1070" s="6" t="s">
        <v>1499</v>
      </c>
      <c r="D1070" s="6" t="s">
        <v>22</v>
      </c>
      <c r="E1070" s="6" t="s">
        <v>23</v>
      </c>
      <c r="F1070" s="45">
        <v>6190.8017241379312</v>
      </c>
      <c r="G1070" s="6" t="s">
        <v>34</v>
      </c>
      <c r="H1070" s="6" t="s">
        <v>36</v>
      </c>
      <c r="I1070" s="16" t="s">
        <v>83</v>
      </c>
    </row>
    <row r="1071" spans="1:9" x14ac:dyDescent="0.25">
      <c r="A1071" s="6" t="s">
        <v>33</v>
      </c>
      <c r="B1071" s="5">
        <v>45891</v>
      </c>
      <c r="C1071" s="6" t="s">
        <v>1500</v>
      </c>
      <c r="D1071" s="6" t="s">
        <v>1501</v>
      </c>
      <c r="E1071" s="6" t="s">
        <v>16</v>
      </c>
      <c r="F1071" s="45">
        <v>5679.0000000000009</v>
      </c>
      <c r="G1071" s="6" t="s">
        <v>15</v>
      </c>
      <c r="H1071" s="6"/>
      <c r="I1071" s="16" t="s">
        <v>83</v>
      </c>
    </row>
    <row r="1072" spans="1:9" x14ac:dyDescent="0.25">
      <c r="A1072" s="6" t="s">
        <v>33</v>
      </c>
      <c r="B1072" s="5">
        <v>45891</v>
      </c>
      <c r="C1072" s="6" t="s">
        <v>1502</v>
      </c>
      <c r="D1072" s="6" t="s">
        <v>14</v>
      </c>
      <c r="E1072" s="6" t="s">
        <v>16</v>
      </c>
      <c r="F1072" s="45">
        <v>1525</v>
      </c>
      <c r="G1072" s="6" t="s">
        <v>15</v>
      </c>
      <c r="H1072" s="6"/>
      <c r="I1072" s="16" t="s">
        <v>83</v>
      </c>
    </row>
    <row r="1073" spans="1:9" x14ac:dyDescent="0.25">
      <c r="A1073" s="6" t="s">
        <v>33</v>
      </c>
      <c r="B1073" s="5">
        <v>45891</v>
      </c>
      <c r="C1073" s="6" t="s">
        <v>1503</v>
      </c>
      <c r="D1073" s="6" t="s">
        <v>1504</v>
      </c>
      <c r="E1073" s="6" t="s">
        <v>10</v>
      </c>
      <c r="F1073" s="45">
        <v>790</v>
      </c>
      <c r="G1073" s="6" t="s">
        <v>968</v>
      </c>
      <c r="H1073" s="6"/>
      <c r="I1073" s="16" t="s">
        <v>83</v>
      </c>
    </row>
    <row r="1074" spans="1:9" x14ac:dyDescent="0.25">
      <c r="A1074" s="6" t="s">
        <v>33</v>
      </c>
      <c r="B1074" s="5">
        <v>45892</v>
      </c>
      <c r="C1074" s="6" t="s">
        <v>1505</v>
      </c>
      <c r="D1074" s="6" t="s">
        <v>14</v>
      </c>
      <c r="E1074" s="6" t="s">
        <v>16</v>
      </c>
      <c r="F1074" s="45">
        <v>2155.1724137931037</v>
      </c>
      <c r="G1074" s="6" t="s">
        <v>15</v>
      </c>
      <c r="H1074" s="6"/>
      <c r="I1074" s="16" t="s">
        <v>83</v>
      </c>
    </row>
    <row r="1075" spans="1:9" x14ac:dyDescent="0.25">
      <c r="A1075" s="6" t="s">
        <v>33</v>
      </c>
      <c r="B1075" s="5">
        <v>45894</v>
      </c>
      <c r="C1075" s="6" t="s">
        <v>1506</v>
      </c>
      <c r="D1075" s="6" t="s">
        <v>38</v>
      </c>
      <c r="E1075" s="6" t="s">
        <v>27</v>
      </c>
      <c r="F1075" s="45">
        <v>919.91379310344826</v>
      </c>
      <c r="G1075" s="6" t="s">
        <v>13</v>
      </c>
      <c r="H1075" s="6"/>
      <c r="I1075" s="16" t="s">
        <v>83</v>
      </c>
    </row>
    <row r="1076" spans="1:9" x14ac:dyDescent="0.25">
      <c r="A1076" s="6" t="s">
        <v>33</v>
      </c>
      <c r="B1076" s="5">
        <v>45894</v>
      </c>
      <c r="C1076" s="6" t="s">
        <v>1507</v>
      </c>
      <c r="D1076" s="6" t="s">
        <v>38</v>
      </c>
      <c r="E1076" s="6" t="s">
        <v>27</v>
      </c>
      <c r="F1076" s="45">
        <v>909.07758620689663</v>
      </c>
      <c r="G1076" s="6" t="s">
        <v>13</v>
      </c>
      <c r="H1076" s="6"/>
      <c r="I1076" s="16" t="s">
        <v>83</v>
      </c>
    </row>
    <row r="1077" spans="1:9" x14ac:dyDescent="0.25">
      <c r="A1077" s="6" t="s">
        <v>33</v>
      </c>
      <c r="B1077" s="5">
        <v>45894</v>
      </c>
      <c r="C1077" s="6" t="s">
        <v>1508</v>
      </c>
      <c r="D1077" s="6" t="s">
        <v>38</v>
      </c>
      <c r="E1077" s="6" t="s">
        <v>27</v>
      </c>
      <c r="F1077" s="45">
        <v>930.41379310344837</v>
      </c>
      <c r="G1077" s="6" t="s">
        <v>13</v>
      </c>
      <c r="H1077" s="6"/>
      <c r="I1077" s="16" t="s">
        <v>83</v>
      </c>
    </row>
    <row r="1078" spans="1:9" x14ac:dyDescent="0.25">
      <c r="A1078" s="6" t="s">
        <v>33</v>
      </c>
      <c r="B1078" s="5">
        <v>45894</v>
      </c>
      <c r="C1078" s="6" t="s">
        <v>1509</v>
      </c>
      <c r="D1078" s="7" t="s">
        <v>30</v>
      </c>
      <c r="E1078" s="6"/>
      <c r="F1078" s="45">
        <v>0</v>
      </c>
      <c r="G1078" s="7"/>
      <c r="H1078" s="6"/>
      <c r="I1078" s="16" t="s">
        <v>83</v>
      </c>
    </row>
    <row r="1079" spans="1:9" x14ac:dyDescent="0.25">
      <c r="A1079" s="6" t="s">
        <v>33</v>
      </c>
      <c r="B1079" s="5">
        <v>45894</v>
      </c>
      <c r="C1079" s="6" t="s">
        <v>1510</v>
      </c>
      <c r="D1079" s="6" t="s">
        <v>1511</v>
      </c>
      <c r="E1079" s="6" t="s">
        <v>10</v>
      </c>
      <c r="F1079" s="45">
        <v>854</v>
      </c>
      <c r="G1079" s="6" t="s">
        <v>968</v>
      </c>
      <c r="H1079" s="6"/>
      <c r="I1079" s="16" t="s">
        <v>83</v>
      </c>
    </row>
    <row r="1080" spans="1:9" x14ac:dyDescent="0.25">
      <c r="A1080" s="6" t="s">
        <v>33</v>
      </c>
      <c r="B1080" s="5">
        <v>45895</v>
      </c>
      <c r="C1080" s="6" t="s">
        <v>1512</v>
      </c>
      <c r="D1080" s="6" t="s">
        <v>14</v>
      </c>
      <c r="E1080" s="6" t="s">
        <v>16</v>
      </c>
      <c r="F1080" s="45">
        <v>2871.5000000000005</v>
      </c>
      <c r="G1080" s="6" t="s">
        <v>15</v>
      </c>
      <c r="H1080" s="6"/>
      <c r="I1080" s="16" t="s">
        <v>83</v>
      </c>
    </row>
    <row r="1081" spans="1:9" x14ac:dyDescent="0.25">
      <c r="A1081" s="6" t="s">
        <v>33</v>
      </c>
      <c r="B1081" s="5">
        <v>45895</v>
      </c>
      <c r="C1081" s="6" t="s">
        <v>1513</v>
      </c>
      <c r="D1081" s="6" t="s">
        <v>14</v>
      </c>
      <c r="E1081" s="6" t="s">
        <v>11</v>
      </c>
      <c r="F1081" s="45">
        <v>172.41379310344828</v>
      </c>
      <c r="G1081" s="6" t="s">
        <v>15</v>
      </c>
      <c r="H1081" s="6"/>
      <c r="I1081" s="16" t="s">
        <v>83</v>
      </c>
    </row>
    <row r="1082" spans="1:9" x14ac:dyDescent="0.25">
      <c r="A1082" s="6" t="s">
        <v>33</v>
      </c>
      <c r="B1082" s="5">
        <v>45895</v>
      </c>
      <c r="C1082" s="6" t="s">
        <v>1514</v>
      </c>
      <c r="D1082" s="6" t="s">
        <v>14</v>
      </c>
      <c r="E1082" s="6" t="s">
        <v>27</v>
      </c>
      <c r="F1082" s="45">
        <v>530</v>
      </c>
      <c r="G1082" s="6" t="s">
        <v>15</v>
      </c>
      <c r="H1082" s="6"/>
      <c r="I1082" s="16" t="s">
        <v>83</v>
      </c>
    </row>
    <row r="1083" spans="1:9" x14ac:dyDescent="0.25">
      <c r="A1083" s="6" t="s">
        <v>33</v>
      </c>
      <c r="B1083" s="5">
        <v>45895</v>
      </c>
      <c r="C1083" s="6" t="s">
        <v>1515</v>
      </c>
      <c r="D1083" s="6" t="s">
        <v>1516</v>
      </c>
      <c r="E1083" s="6" t="s">
        <v>10</v>
      </c>
      <c r="F1083" s="45">
        <v>1465.5172413793105</v>
      </c>
      <c r="G1083" s="6" t="s">
        <v>15</v>
      </c>
      <c r="H1083" s="6"/>
      <c r="I1083" s="16" t="s">
        <v>83</v>
      </c>
    </row>
    <row r="1084" spans="1:9" x14ac:dyDescent="0.25">
      <c r="A1084" s="6" t="s">
        <v>33</v>
      </c>
      <c r="B1084" s="5">
        <v>45897</v>
      </c>
      <c r="C1084" s="6" t="s">
        <v>1517</v>
      </c>
      <c r="D1084" s="6" t="s">
        <v>1518</v>
      </c>
      <c r="E1084" s="6" t="s">
        <v>20</v>
      </c>
      <c r="F1084" s="45">
        <v>5172.4137931034484</v>
      </c>
      <c r="G1084" s="6" t="s">
        <v>8</v>
      </c>
      <c r="H1084" s="6" t="s">
        <v>57</v>
      </c>
      <c r="I1084" s="16" t="s">
        <v>83</v>
      </c>
    </row>
    <row r="1085" spans="1:9" x14ac:dyDescent="0.25">
      <c r="A1085" s="6" t="s">
        <v>33</v>
      </c>
      <c r="B1085" s="5">
        <v>45897</v>
      </c>
      <c r="C1085" s="6" t="s">
        <v>1519</v>
      </c>
      <c r="D1085" s="6" t="s">
        <v>22</v>
      </c>
      <c r="E1085" s="6"/>
      <c r="F1085" s="45">
        <v>0</v>
      </c>
      <c r="G1085" s="6"/>
      <c r="H1085" s="6"/>
      <c r="I1085" s="16" t="s">
        <v>83</v>
      </c>
    </row>
    <row r="1086" spans="1:9" x14ac:dyDescent="0.25">
      <c r="A1086" s="6" t="s">
        <v>33</v>
      </c>
      <c r="B1086" s="5">
        <v>45897</v>
      </c>
      <c r="C1086" s="6" t="s">
        <v>1520</v>
      </c>
      <c r="D1086" s="6" t="s">
        <v>1521</v>
      </c>
      <c r="E1086" s="6" t="s">
        <v>23</v>
      </c>
      <c r="F1086" s="45">
        <v>7392</v>
      </c>
      <c r="G1086" s="6" t="s">
        <v>13</v>
      </c>
      <c r="H1086" s="6" t="s">
        <v>36</v>
      </c>
      <c r="I1086" s="16" t="s">
        <v>83</v>
      </c>
    </row>
    <row r="1087" spans="1:9" x14ac:dyDescent="0.25">
      <c r="A1087" s="6" t="s">
        <v>33</v>
      </c>
      <c r="B1087" s="5">
        <v>45897</v>
      </c>
      <c r="C1087" s="6" t="s">
        <v>1522</v>
      </c>
      <c r="D1087" s="6" t="s">
        <v>1174</v>
      </c>
      <c r="E1087" s="6" t="s">
        <v>20</v>
      </c>
      <c r="F1087" s="45">
        <v>8922.4137931034493</v>
      </c>
      <c r="G1087" s="6" t="s">
        <v>968</v>
      </c>
      <c r="H1087" s="6" t="s">
        <v>58</v>
      </c>
      <c r="I1087" s="16" t="s">
        <v>83</v>
      </c>
    </row>
    <row r="1088" spans="1:9" x14ac:dyDescent="0.25">
      <c r="A1088" s="6" t="s">
        <v>33</v>
      </c>
      <c r="B1088" s="5">
        <v>45898</v>
      </c>
      <c r="C1088" s="6" t="s">
        <v>1523</v>
      </c>
      <c r="D1088" s="6" t="s">
        <v>1054</v>
      </c>
      <c r="E1088" s="6" t="s">
        <v>16</v>
      </c>
      <c r="F1088" s="45">
        <v>11843</v>
      </c>
      <c r="G1088" s="6" t="s">
        <v>15</v>
      </c>
      <c r="H1088" s="6"/>
      <c r="I1088" s="16" t="s">
        <v>83</v>
      </c>
    </row>
    <row r="1089" spans="1:9" x14ac:dyDescent="0.25">
      <c r="A1089" s="6" t="s">
        <v>33</v>
      </c>
      <c r="B1089" s="5">
        <v>45898</v>
      </c>
      <c r="C1089" s="6" t="s">
        <v>1524</v>
      </c>
      <c r="D1089" s="6" t="s">
        <v>1525</v>
      </c>
      <c r="E1089" s="6" t="s">
        <v>23</v>
      </c>
      <c r="F1089" s="45">
        <v>118496</v>
      </c>
      <c r="G1089" s="6" t="s">
        <v>13</v>
      </c>
      <c r="H1089" s="6" t="s">
        <v>1526</v>
      </c>
      <c r="I1089" s="16" t="s">
        <v>83</v>
      </c>
    </row>
    <row r="1090" spans="1:9" x14ac:dyDescent="0.25">
      <c r="A1090" s="6" t="s">
        <v>33</v>
      </c>
      <c r="B1090" s="5">
        <v>45898</v>
      </c>
      <c r="C1090" s="6" t="s">
        <v>1527</v>
      </c>
      <c r="D1090" s="6" t="s">
        <v>14</v>
      </c>
      <c r="E1090" s="6" t="s">
        <v>1268</v>
      </c>
      <c r="F1090" s="45">
        <v>5129.310344827587</v>
      </c>
      <c r="G1090" s="6" t="s">
        <v>968</v>
      </c>
      <c r="H1090" s="6" t="s">
        <v>1528</v>
      </c>
      <c r="I1090" s="16" t="s">
        <v>83</v>
      </c>
    </row>
    <row r="1091" spans="1:9" x14ac:dyDescent="0.25">
      <c r="A1091" s="6" t="s">
        <v>33</v>
      </c>
      <c r="B1091" s="5">
        <v>45898</v>
      </c>
      <c r="C1091" s="6" t="s">
        <v>1529</v>
      </c>
      <c r="D1091" s="6" t="s">
        <v>1059</v>
      </c>
      <c r="E1091" s="6" t="s">
        <v>11</v>
      </c>
      <c r="F1091" s="45">
        <v>258.62068965517244</v>
      </c>
      <c r="G1091" s="6" t="s">
        <v>15</v>
      </c>
      <c r="H1091" s="6"/>
      <c r="I1091" s="16" t="s">
        <v>83</v>
      </c>
    </row>
    <row r="1092" spans="1:9" x14ac:dyDescent="0.25">
      <c r="A1092" s="6" t="s">
        <v>33</v>
      </c>
      <c r="B1092" s="5">
        <v>45898</v>
      </c>
      <c r="C1092" s="21" t="s">
        <v>1530</v>
      </c>
      <c r="D1092" s="6" t="s">
        <v>22</v>
      </c>
      <c r="E1092" s="6" t="s">
        <v>23</v>
      </c>
      <c r="F1092" s="45">
        <v>4201</v>
      </c>
      <c r="G1092" s="6" t="s">
        <v>34</v>
      </c>
      <c r="H1092" s="6" t="s">
        <v>54</v>
      </c>
      <c r="I1092" s="16" t="s">
        <v>83</v>
      </c>
    </row>
    <row r="1093" spans="1:9" x14ac:dyDescent="0.25">
      <c r="A1093" s="6" t="s">
        <v>33</v>
      </c>
      <c r="B1093" s="5">
        <v>45898</v>
      </c>
      <c r="C1093" s="6" t="s">
        <v>1531</v>
      </c>
      <c r="D1093" s="6" t="s">
        <v>1532</v>
      </c>
      <c r="E1093" s="6" t="s">
        <v>16</v>
      </c>
      <c r="F1093" s="45">
        <v>6392.0000000000009</v>
      </c>
      <c r="G1093" s="6" t="s">
        <v>15</v>
      </c>
      <c r="H1093" s="6"/>
      <c r="I1093" s="16" t="s">
        <v>83</v>
      </c>
    </row>
    <row r="1094" spans="1:9" x14ac:dyDescent="0.25">
      <c r="A1094" s="6" t="s">
        <v>33</v>
      </c>
      <c r="B1094" s="5">
        <v>45898</v>
      </c>
      <c r="C1094" s="6" t="s">
        <v>1533</v>
      </c>
      <c r="D1094" s="6" t="s">
        <v>1329</v>
      </c>
      <c r="E1094" s="6" t="s">
        <v>16</v>
      </c>
      <c r="F1094" s="45">
        <v>3412.0000000000005</v>
      </c>
      <c r="G1094" s="6" t="s">
        <v>15</v>
      </c>
      <c r="H1094" s="6"/>
      <c r="I1094" s="16" t="s">
        <v>83</v>
      </c>
    </row>
    <row r="1095" spans="1:9" x14ac:dyDescent="0.25">
      <c r="A1095" s="6" t="s">
        <v>33</v>
      </c>
      <c r="B1095" s="5">
        <v>45898</v>
      </c>
      <c r="C1095" s="6" t="s">
        <v>1534</v>
      </c>
      <c r="D1095" s="6" t="s">
        <v>14</v>
      </c>
      <c r="E1095" s="6" t="s">
        <v>16</v>
      </c>
      <c r="F1095" s="45">
        <v>2143.0000000000005</v>
      </c>
      <c r="G1095" s="6" t="s">
        <v>15</v>
      </c>
      <c r="H1095" s="6"/>
      <c r="I1095" s="16" t="s">
        <v>83</v>
      </c>
    </row>
    <row r="1096" spans="1:9" x14ac:dyDescent="0.25">
      <c r="A1096" s="6" t="s">
        <v>33</v>
      </c>
      <c r="B1096" s="5">
        <v>45898</v>
      </c>
      <c r="C1096" s="6" t="s">
        <v>1535</v>
      </c>
      <c r="D1096" s="6" t="s">
        <v>1536</v>
      </c>
      <c r="E1096" s="6" t="s">
        <v>16</v>
      </c>
      <c r="F1096" s="45">
        <v>10300</v>
      </c>
      <c r="G1096" s="6" t="s">
        <v>15</v>
      </c>
      <c r="H1096" s="6"/>
      <c r="I1096" s="16" t="s">
        <v>83</v>
      </c>
    </row>
    <row r="1097" spans="1:9" x14ac:dyDescent="0.25">
      <c r="A1097" s="6" t="s">
        <v>33</v>
      </c>
      <c r="B1097" s="5">
        <v>45899</v>
      </c>
      <c r="C1097" s="6" t="s">
        <v>1537</v>
      </c>
      <c r="D1097" s="6" t="s">
        <v>59</v>
      </c>
      <c r="E1097" s="6" t="s">
        <v>16</v>
      </c>
      <c r="F1097" s="45">
        <v>3970</v>
      </c>
      <c r="G1097" s="6" t="s">
        <v>15</v>
      </c>
      <c r="H1097" s="6"/>
      <c r="I1097" s="16" t="s">
        <v>83</v>
      </c>
    </row>
    <row r="1098" spans="1:9" x14ac:dyDescent="0.25">
      <c r="A1098" s="6" t="s">
        <v>33</v>
      </c>
      <c r="B1098" s="5">
        <v>45903</v>
      </c>
      <c r="C1098" s="6" t="s">
        <v>1538</v>
      </c>
      <c r="D1098" s="6" t="s">
        <v>60</v>
      </c>
      <c r="E1098" s="6" t="s">
        <v>16</v>
      </c>
      <c r="F1098" s="45">
        <v>2704.6206896551726</v>
      </c>
      <c r="G1098" s="6" t="s">
        <v>15</v>
      </c>
      <c r="H1098" s="6"/>
      <c r="I1098" s="16" t="s">
        <v>83</v>
      </c>
    </row>
    <row r="1099" spans="1:9" x14ac:dyDescent="0.25">
      <c r="A1099" s="6" t="s">
        <v>33</v>
      </c>
      <c r="B1099" s="5">
        <v>45903</v>
      </c>
      <c r="C1099" s="6" t="s">
        <v>1539</v>
      </c>
      <c r="D1099" s="6" t="s">
        <v>1239</v>
      </c>
      <c r="E1099" s="6" t="s">
        <v>18</v>
      </c>
      <c r="F1099" s="45">
        <v>513.00000000000011</v>
      </c>
      <c r="G1099" s="6" t="s">
        <v>968</v>
      </c>
      <c r="H1099" s="6"/>
      <c r="I1099" s="16" t="s">
        <v>83</v>
      </c>
    </row>
    <row r="1100" spans="1:9" x14ac:dyDescent="0.25">
      <c r="A1100" s="6" t="s">
        <v>33</v>
      </c>
      <c r="B1100" s="5">
        <v>45904</v>
      </c>
      <c r="C1100" s="6" t="s">
        <v>1540</v>
      </c>
      <c r="D1100" s="6" t="s">
        <v>967</v>
      </c>
      <c r="E1100" s="6" t="s">
        <v>18</v>
      </c>
      <c r="F1100" s="45">
        <v>8152</v>
      </c>
      <c r="G1100" s="6" t="s">
        <v>968</v>
      </c>
      <c r="H1100" s="6"/>
      <c r="I1100" s="16" t="s">
        <v>83</v>
      </c>
    </row>
    <row r="1101" spans="1:9" x14ac:dyDescent="0.25">
      <c r="A1101" s="6" t="s">
        <v>33</v>
      </c>
      <c r="B1101" s="5">
        <v>45904</v>
      </c>
      <c r="C1101" s="6" t="s">
        <v>1541</v>
      </c>
      <c r="D1101" s="6" t="s">
        <v>1542</v>
      </c>
      <c r="E1101" s="6" t="s">
        <v>10</v>
      </c>
      <c r="F1101" s="45">
        <v>1034.4827586206898</v>
      </c>
      <c r="G1101" s="6" t="s">
        <v>8</v>
      </c>
      <c r="H1101" s="6"/>
      <c r="I1101" s="16" t="s">
        <v>83</v>
      </c>
    </row>
    <row r="1102" spans="1:9" x14ac:dyDescent="0.25">
      <c r="A1102" s="6" t="s">
        <v>33</v>
      </c>
      <c r="B1102" s="5">
        <v>45905</v>
      </c>
      <c r="C1102" s="6" t="s">
        <v>1543</v>
      </c>
      <c r="D1102" s="6" t="s">
        <v>61</v>
      </c>
      <c r="E1102" s="6" t="s">
        <v>16</v>
      </c>
      <c r="F1102" s="45">
        <v>6868.0000000000009</v>
      </c>
      <c r="G1102" s="6" t="s">
        <v>13</v>
      </c>
      <c r="H1102" s="6"/>
      <c r="I1102" s="16" t="s">
        <v>83</v>
      </c>
    </row>
    <row r="1103" spans="1:9" x14ac:dyDescent="0.25">
      <c r="A1103" s="6" t="s">
        <v>33</v>
      </c>
      <c r="B1103" s="5">
        <v>45905</v>
      </c>
      <c r="C1103" s="21" t="s">
        <v>1544</v>
      </c>
      <c r="D1103" s="6" t="s">
        <v>22</v>
      </c>
      <c r="E1103" s="6" t="s">
        <v>18</v>
      </c>
      <c r="F1103" s="45">
        <v>342.00000000000006</v>
      </c>
      <c r="G1103" s="6" t="s">
        <v>34</v>
      </c>
      <c r="H1103" s="6"/>
      <c r="I1103" s="16" t="s">
        <v>83</v>
      </c>
    </row>
    <row r="1104" spans="1:9" x14ac:dyDescent="0.25">
      <c r="A1104" s="6" t="s">
        <v>33</v>
      </c>
      <c r="B1104" s="5">
        <v>45906</v>
      </c>
      <c r="C1104" s="6" t="s">
        <v>1545</v>
      </c>
      <c r="D1104" s="6" t="s">
        <v>1546</v>
      </c>
      <c r="E1104" s="6" t="s">
        <v>23</v>
      </c>
      <c r="F1104" s="45">
        <v>23000</v>
      </c>
      <c r="G1104" s="6" t="s">
        <v>968</v>
      </c>
      <c r="H1104" s="6" t="s">
        <v>52</v>
      </c>
      <c r="I1104" s="16" t="s">
        <v>83</v>
      </c>
    </row>
    <row r="1105" spans="1:9" x14ac:dyDescent="0.25">
      <c r="A1105" s="6" t="s">
        <v>33</v>
      </c>
      <c r="B1105" s="5">
        <v>45906</v>
      </c>
      <c r="C1105" s="6" t="s">
        <v>1547</v>
      </c>
      <c r="D1105" s="6" t="s">
        <v>14</v>
      </c>
      <c r="E1105" s="6" t="s">
        <v>16</v>
      </c>
      <c r="F1105" s="45">
        <v>929.62068965517244</v>
      </c>
      <c r="G1105" s="6" t="s">
        <v>15</v>
      </c>
      <c r="H1105" s="6"/>
      <c r="I1105" s="16" t="s">
        <v>83</v>
      </c>
    </row>
    <row r="1106" spans="1:9" x14ac:dyDescent="0.25">
      <c r="A1106" s="6" t="s">
        <v>33</v>
      </c>
      <c r="B1106" s="5">
        <v>45906</v>
      </c>
      <c r="C1106" s="6" t="s">
        <v>1548</v>
      </c>
      <c r="D1106" s="6" t="s">
        <v>14</v>
      </c>
      <c r="E1106" s="6" t="s">
        <v>16</v>
      </c>
      <c r="F1106" s="45">
        <v>2993.0000000000005</v>
      </c>
      <c r="G1106" s="6" t="s">
        <v>15</v>
      </c>
      <c r="H1106" s="6"/>
      <c r="I1106" s="16" t="s">
        <v>83</v>
      </c>
    </row>
    <row r="1107" spans="1:9" x14ac:dyDescent="0.25">
      <c r="A1107" s="6" t="s">
        <v>33</v>
      </c>
      <c r="B1107" s="5">
        <v>45908</v>
      </c>
      <c r="C1107" s="6" t="s">
        <v>1549</v>
      </c>
      <c r="D1107" s="6" t="s">
        <v>1521</v>
      </c>
      <c r="E1107" s="6" t="s">
        <v>23</v>
      </c>
      <c r="F1107" s="45">
        <v>22176</v>
      </c>
      <c r="G1107" s="6" t="s">
        <v>13</v>
      </c>
      <c r="H1107" s="6" t="s">
        <v>39</v>
      </c>
      <c r="I1107" s="16" t="s">
        <v>83</v>
      </c>
    </row>
    <row r="1108" spans="1:9" x14ac:dyDescent="0.25">
      <c r="A1108" s="6" t="s">
        <v>33</v>
      </c>
      <c r="B1108" s="5">
        <v>45910</v>
      </c>
      <c r="C1108" s="6" t="s">
        <v>1550</v>
      </c>
      <c r="D1108" s="6" t="s">
        <v>14</v>
      </c>
      <c r="E1108" s="6" t="s">
        <v>16</v>
      </c>
      <c r="F1108" s="45">
        <v>2360</v>
      </c>
      <c r="G1108" s="6" t="s">
        <v>15</v>
      </c>
      <c r="H1108" s="6"/>
      <c r="I1108" s="16" t="s">
        <v>83</v>
      </c>
    </row>
    <row r="1109" spans="1:9" x14ac:dyDescent="0.25">
      <c r="A1109" s="6" t="s">
        <v>33</v>
      </c>
      <c r="B1109" s="5">
        <v>45912</v>
      </c>
      <c r="C1109" s="6" t="s">
        <v>1551</v>
      </c>
      <c r="D1109" s="6" t="s">
        <v>12</v>
      </c>
      <c r="E1109" s="6" t="s">
        <v>23</v>
      </c>
      <c r="F1109" s="45">
        <v>34000</v>
      </c>
      <c r="G1109" s="6" t="s">
        <v>13</v>
      </c>
      <c r="H1109" s="6" t="s">
        <v>1552</v>
      </c>
      <c r="I1109" s="16" t="s">
        <v>83</v>
      </c>
    </row>
    <row r="1110" spans="1:9" x14ac:dyDescent="0.25">
      <c r="A1110" s="6" t="s">
        <v>33</v>
      </c>
      <c r="B1110" s="5">
        <v>45913</v>
      </c>
      <c r="C1110" s="6" t="s">
        <v>1553</v>
      </c>
      <c r="D1110" s="6" t="s">
        <v>22</v>
      </c>
      <c r="E1110" s="6"/>
      <c r="F1110" s="45">
        <v>0</v>
      </c>
      <c r="G1110" s="6"/>
      <c r="H1110" s="6"/>
      <c r="I1110" s="16" t="s">
        <v>83</v>
      </c>
    </row>
    <row r="1111" spans="1:9" x14ac:dyDescent="0.25">
      <c r="A1111" s="6" t="s">
        <v>33</v>
      </c>
      <c r="B1111" s="5">
        <v>45913</v>
      </c>
      <c r="C1111" s="6" t="s">
        <v>1554</v>
      </c>
      <c r="D1111" s="7" t="s">
        <v>14</v>
      </c>
      <c r="E1111" s="6" t="s">
        <v>16</v>
      </c>
      <c r="F1111" s="45">
        <v>2954.5</v>
      </c>
      <c r="G1111" s="7" t="s">
        <v>15</v>
      </c>
      <c r="H1111" s="6"/>
      <c r="I1111" s="16" t="s">
        <v>83</v>
      </c>
    </row>
    <row r="1112" spans="1:9" x14ac:dyDescent="0.25">
      <c r="A1112" s="6" t="s">
        <v>33</v>
      </c>
      <c r="B1112" s="5">
        <v>45915</v>
      </c>
      <c r="C1112" s="6" t="s">
        <v>1555</v>
      </c>
      <c r="D1112" s="6" t="s">
        <v>1556</v>
      </c>
      <c r="E1112" s="6" t="s">
        <v>16</v>
      </c>
      <c r="F1112" s="45">
        <v>8553</v>
      </c>
      <c r="G1112" s="6" t="s">
        <v>15</v>
      </c>
      <c r="H1112" s="6"/>
      <c r="I1112" s="16" t="s">
        <v>83</v>
      </c>
    </row>
    <row r="1113" spans="1:9" x14ac:dyDescent="0.25">
      <c r="A1113" s="6" t="s">
        <v>33</v>
      </c>
      <c r="B1113" s="5">
        <v>45917</v>
      </c>
      <c r="C1113" s="6" t="s">
        <v>1557</v>
      </c>
      <c r="D1113" s="6" t="s">
        <v>28</v>
      </c>
      <c r="E1113" s="6" t="s">
        <v>18</v>
      </c>
      <c r="F1113" s="45">
        <v>1944</v>
      </c>
      <c r="G1113" s="6" t="s">
        <v>13</v>
      </c>
      <c r="H1113" s="6"/>
      <c r="I1113" s="16" t="s">
        <v>83</v>
      </c>
    </row>
    <row r="1114" spans="1:9" x14ac:dyDescent="0.25">
      <c r="A1114" s="6" t="s">
        <v>33</v>
      </c>
      <c r="B1114" s="5">
        <v>45917</v>
      </c>
      <c r="C1114" s="6" t="s">
        <v>1558</v>
      </c>
      <c r="D1114" s="6" t="s">
        <v>1559</v>
      </c>
      <c r="E1114" s="6" t="s">
        <v>18</v>
      </c>
      <c r="F1114" s="45">
        <v>301.72413793103448</v>
      </c>
      <c r="G1114" s="6" t="s">
        <v>15</v>
      </c>
      <c r="H1114" s="6"/>
      <c r="I1114" s="16" t="s">
        <v>83</v>
      </c>
    </row>
    <row r="1115" spans="1:9" x14ac:dyDescent="0.25">
      <c r="A1115" s="6" t="s">
        <v>33</v>
      </c>
      <c r="B1115" s="5">
        <v>45919</v>
      </c>
      <c r="C1115" s="6" t="s">
        <v>1560</v>
      </c>
      <c r="D1115" s="6" t="s">
        <v>1561</v>
      </c>
      <c r="E1115" s="6" t="s">
        <v>23</v>
      </c>
      <c r="F1115" s="45">
        <v>16740.000000000004</v>
      </c>
      <c r="G1115" s="6" t="s">
        <v>968</v>
      </c>
      <c r="H1115" s="6" t="s">
        <v>39</v>
      </c>
      <c r="I1115" s="16" t="s">
        <v>83</v>
      </c>
    </row>
    <row r="1116" spans="1:9" x14ac:dyDescent="0.25">
      <c r="A1116" s="6" t="s">
        <v>33</v>
      </c>
      <c r="B1116" s="5">
        <v>45919</v>
      </c>
      <c r="C1116" s="6" t="s">
        <v>1562</v>
      </c>
      <c r="D1116" s="6" t="s">
        <v>12</v>
      </c>
      <c r="E1116" s="6" t="s">
        <v>10</v>
      </c>
      <c r="F1116" s="45">
        <v>34360</v>
      </c>
      <c r="G1116" s="6" t="s">
        <v>13</v>
      </c>
      <c r="H1116" s="6"/>
      <c r="I1116" s="16" t="s">
        <v>83</v>
      </c>
    </row>
    <row r="1117" spans="1:9" x14ac:dyDescent="0.25">
      <c r="A1117" s="6" t="s">
        <v>33</v>
      </c>
      <c r="B1117" s="5">
        <v>45919</v>
      </c>
      <c r="C1117" s="6" t="s">
        <v>1563</v>
      </c>
      <c r="D1117" s="6" t="s">
        <v>14</v>
      </c>
      <c r="E1117" s="6" t="s">
        <v>11</v>
      </c>
      <c r="F1117" s="45">
        <v>258.62068965517244</v>
      </c>
      <c r="G1117" s="6" t="s">
        <v>15</v>
      </c>
      <c r="H1117" s="6"/>
      <c r="I1117" s="16" t="s">
        <v>83</v>
      </c>
    </row>
    <row r="1118" spans="1:9" x14ac:dyDescent="0.25">
      <c r="A1118" s="6" t="s">
        <v>33</v>
      </c>
      <c r="B1118" s="5">
        <v>45919</v>
      </c>
      <c r="C1118" s="6" t="s">
        <v>1564</v>
      </c>
      <c r="D1118" s="6" t="s">
        <v>1565</v>
      </c>
      <c r="E1118" s="6" t="s">
        <v>18</v>
      </c>
      <c r="F1118" s="45">
        <v>350</v>
      </c>
      <c r="G1118" s="6" t="s">
        <v>968</v>
      </c>
      <c r="H1118" s="6"/>
      <c r="I1118" s="16" t="s">
        <v>83</v>
      </c>
    </row>
    <row r="1119" spans="1:9" x14ac:dyDescent="0.25">
      <c r="A1119" s="6" t="s">
        <v>33</v>
      </c>
      <c r="B1119" s="5">
        <v>45919</v>
      </c>
      <c r="C1119" s="6" t="s">
        <v>1566</v>
      </c>
      <c r="D1119" s="6" t="s">
        <v>14</v>
      </c>
      <c r="E1119" s="6" t="s">
        <v>16</v>
      </c>
      <c r="F1119" s="45">
        <v>1456.0000000000002</v>
      </c>
      <c r="G1119" s="6" t="s">
        <v>15</v>
      </c>
      <c r="H1119" s="6"/>
      <c r="I1119" s="16" t="s">
        <v>83</v>
      </c>
    </row>
    <row r="1120" spans="1:9" x14ac:dyDescent="0.25">
      <c r="A1120" s="6" t="s">
        <v>33</v>
      </c>
      <c r="B1120" s="5">
        <v>45922</v>
      </c>
      <c r="C1120" s="6" t="s">
        <v>1567</v>
      </c>
      <c r="D1120" s="6" t="s">
        <v>941</v>
      </c>
      <c r="E1120" s="6" t="s">
        <v>10</v>
      </c>
      <c r="F1120" s="45">
        <v>2900</v>
      </c>
      <c r="G1120" s="6" t="s">
        <v>968</v>
      </c>
      <c r="H1120" s="6"/>
      <c r="I1120" s="16" t="s">
        <v>83</v>
      </c>
    </row>
    <row r="1121" spans="1:9" x14ac:dyDescent="0.25">
      <c r="A1121" s="6" t="s">
        <v>33</v>
      </c>
      <c r="B1121" s="5">
        <v>45922</v>
      </c>
      <c r="C1121" s="6" t="s">
        <v>1568</v>
      </c>
      <c r="D1121" s="6" t="s">
        <v>941</v>
      </c>
      <c r="E1121" s="6" t="s">
        <v>10</v>
      </c>
      <c r="F1121" s="45">
        <v>1645.0000000000002</v>
      </c>
      <c r="G1121" s="6" t="s">
        <v>968</v>
      </c>
      <c r="H1121" s="6"/>
      <c r="I1121" s="16" t="s">
        <v>83</v>
      </c>
    </row>
    <row r="1122" spans="1:9" x14ac:dyDescent="0.25">
      <c r="A1122" s="6" t="s">
        <v>33</v>
      </c>
      <c r="B1122" s="5">
        <v>45922</v>
      </c>
      <c r="C1122" s="6" t="s">
        <v>1569</v>
      </c>
      <c r="D1122" s="6" t="s">
        <v>22</v>
      </c>
      <c r="E1122" s="6" t="s">
        <v>10</v>
      </c>
      <c r="F1122" s="45">
        <v>783</v>
      </c>
      <c r="G1122" s="6" t="s">
        <v>34</v>
      </c>
      <c r="H1122" s="6"/>
      <c r="I1122" s="16" t="s">
        <v>83</v>
      </c>
    </row>
    <row r="1123" spans="1:9" x14ac:dyDescent="0.25">
      <c r="A1123" s="6" t="s">
        <v>33</v>
      </c>
      <c r="B1123" s="5">
        <v>45922</v>
      </c>
      <c r="C1123" s="6" t="s">
        <v>1570</v>
      </c>
      <c r="D1123" s="6" t="s">
        <v>14</v>
      </c>
      <c r="E1123" s="6" t="s">
        <v>16</v>
      </c>
      <c r="F1123" s="45">
        <v>3621</v>
      </c>
      <c r="G1123" s="6" t="s">
        <v>15</v>
      </c>
      <c r="H1123" s="6"/>
      <c r="I1123" s="16" t="s">
        <v>83</v>
      </c>
    </row>
    <row r="1124" spans="1:9" x14ac:dyDescent="0.25">
      <c r="A1124" s="6" t="s">
        <v>33</v>
      </c>
      <c r="B1124" s="5">
        <v>45922</v>
      </c>
      <c r="C1124" s="6" t="s">
        <v>1571</v>
      </c>
      <c r="D1124" s="6" t="s">
        <v>14</v>
      </c>
      <c r="E1124" s="6" t="s">
        <v>16</v>
      </c>
      <c r="F1124" s="45">
        <v>1185</v>
      </c>
      <c r="G1124" s="6" t="s">
        <v>15</v>
      </c>
      <c r="H1124" s="6"/>
      <c r="I1124" s="16" t="s">
        <v>83</v>
      </c>
    </row>
    <row r="1125" spans="1:9" x14ac:dyDescent="0.25">
      <c r="A1125" s="6" t="s">
        <v>33</v>
      </c>
      <c r="B1125" s="5">
        <v>45922</v>
      </c>
      <c r="C1125" s="6" t="s">
        <v>1572</v>
      </c>
      <c r="D1125" s="6" t="s">
        <v>14</v>
      </c>
      <c r="E1125" s="6" t="s">
        <v>18</v>
      </c>
      <c r="F1125" s="45">
        <v>387.93103448275866</v>
      </c>
      <c r="G1125" s="6" t="s">
        <v>8</v>
      </c>
      <c r="H1125" s="6"/>
      <c r="I1125" s="16" t="s">
        <v>83</v>
      </c>
    </row>
    <row r="1126" spans="1:9" x14ac:dyDescent="0.25">
      <c r="A1126" s="6" t="s">
        <v>33</v>
      </c>
      <c r="B1126" s="5">
        <v>45923</v>
      </c>
      <c r="C1126" s="6" t="s">
        <v>1573</v>
      </c>
      <c r="D1126" s="6" t="s">
        <v>1574</v>
      </c>
      <c r="E1126" s="6" t="s">
        <v>18</v>
      </c>
      <c r="F1126" s="45">
        <v>517.23275862068965</v>
      </c>
      <c r="G1126" s="6" t="s">
        <v>8</v>
      </c>
      <c r="H1126" s="6"/>
      <c r="I1126" s="16" t="s">
        <v>83</v>
      </c>
    </row>
    <row r="1127" spans="1:9" x14ac:dyDescent="0.25">
      <c r="A1127" s="6" t="s">
        <v>33</v>
      </c>
      <c r="B1127" s="5">
        <v>45924</v>
      </c>
      <c r="C1127" s="6" t="s">
        <v>1575</v>
      </c>
      <c r="D1127" s="6" t="s">
        <v>1239</v>
      </c>
      <c r="E1127" s="6" t="s">
        <v>18</v>
      </c>
      <c r="F1127" s="45">
        <v>396.00000000000006</v>
      </c>
      <c r="G1127" s="6" t="s">
        <v>968</v>
      </c>
      <c r="H1127" s="6"/>
      <c r="I1127" s="16" t="s">
        <v>83</v>
      </c>
    </row>
    <row r="1128" spans="1:9" x14ac:dyDescent="0.25">
      <c r="A1128" s="6" t="s">
        <v>33</v>
      </c>
      <c r="B1128" s="5">
        <v>45924</v>
      </c>
      <c r="C1128" s="6" t="s">
        <v>1576</v>
      </c>
      <c r="D1128" s="6" t="s">
        <v>1239</v>
      </c>
      <c r="E1128" s="6" t="s">
        <v>18</v>
      </c>
      <c r="F1128" s="45">
        <v>6830.0000000000009</v>
      </c>
      <c r="G1128" s="6" t="s">
        <v>968</v>
      </c>
      <c r="H1128" s="6"/>
      <c r="I1128" s="16" t="s">
        <v>83</v>
      </c>
    </row>
    <row r="1129" spans="1:9" x14ac:dyDescent="0.25">
      <c r="A1129" s="6" t="s">
        <v>33</v>
      </c>
      <c r="B1129" s="5">
        <v>45924</v>
      </c>
      <c r="C1129" s="6" t="s">
        <v>1577</v>
      </c>
      <c r="D1129" s="6" t="s">
        <v>14</v>
      </c>
      <c r="E1129" s="6" t="s">
        <v>18</v>
      </c>
      <c r="F1129" s="45">
        <v>450.00000000000006</v>
      </c>
      <c r="G1129" s="6" t="s">
        <v>968</v>
      </c>
      <c r="H1129" s="6"/>
      <c r="I1129" s="16" t="s">
        <v>83</v>
      </c>
    </row>
    <row r="1130" spans="1:9" x14ac:dyDescent="0.25">
      <c r="A1130" s="6" t="s">
        <v>33</v>
      </c>
      <c r="B1130" s="5">
        <v>45924</v>
      </c>
      <c r="C1130" s="6" t="s">
        <v>1578</v>
      </c>
      <c r="D1130" s="6" t="s">
        <v>14</v>
      </c>
      <c r="E1130" s="6" t="s">
        <v>20</v>
      </c>
      <c r="F1130" s="45">
        <v>5172.4137931034484</v>
      </c>
      <c r="G1130" s="6" t="s">
        <v>8</v>
      </c>
      <c r="H1130" s="6" t="s">
        <v>57</v>
      </c>
      <c r="I1130" s="16" t="s">
        <v>83</v>
      </c>
    </row>
    <row r="1131" spans="1:9" x14ac:dyDescent="0.25">
      <c r="A1131" s="6" t="s">
        <v>33</v>
      </c>
      <c r="B1131" s="5">
        <v>45925</v>
      </c>
      <c r="C1131" s="6" t="s">
        <v>1579</v>
      </c>
      <c r="D1131" s="6" t="s">
        <v>1239</v>
      </c>
      <c r="E1131" s="6" t="s">
        <v>18</v>
      </c>
      <c r="F1131" s="45">
        <v>6305.0000000000009</v>
      </c>
      <c r="G1131" s="6" t="s">
        <v>968</v>
      </c>
      <c r="H1131" s="6"/>
      <c r="I1131" s="16" t="s">
        <v>83</v>
      </c>
    </row>
    <row r="1132" spans="1:9" x14ac:dyDescent="0.25">
      <c r="A1132" s="6" t="s">
        <v>33</v>
      </c>
      <c r="B1132" s="5">
        <v>45925</v>
      </c>
      <c r="C1132" s="6" t="s">
        <v>1580</v>
      </c>
      <c r="D1132" s="6" t="s">
        <v>1239</v>
      </c>
      <c r="E1132" s="6" t="s">
        <v>18</v>
      </c>
      <c r="F1132" s="45">
        <v>1050</v>
      </c>
      <c r="G1132" s="6" t="s">
        <v>968</v>
      </c>
      <c r="H1132" s="6"/>
      <c r="I1132" s="16" t="s">
        <v>83</v>
      </c>
    </row>
    <row r="1133" spans="1:9" x14ac:dyDescent="0.25">
      <c r="A1133" s="6" t="s">
        <v>33</v>
      </c>
      <c r="B1133" s="5">
        <v>45925</v>
      </c>
      <c r="C1133" s="6" t="s">
        <v>1581</v>
      </c>
      <c r="D1133" s="6" t="s">
        <v>1239</v>
      </c>
      <c r="E1133" s="6" t="s">
        <v>18</v>
      </c>
      <c r="F1133" s="45">
        <v>954.00000000000011</v>
      </c>
      <c r="G1133" s="7" t="s">
        <v>968</v>
      </c>
      <c r="H1133" s="6"/>
      <c r="I1133" s="16" t="s">
        <v>83</v>
      </c>
    </row>
    <row r="1134" spans="1:9" x14ac:dyDescent="0.25">
      <c r="A1134" s="6" t="s">
        <v>33</v>
      </c>
      <c r="B1134" s="5">
        <v>45925</v>
      </c>
      <c r="C1134" s="6" t="s">
        <v>1582</v>
      </c>
      <c r="D1134" s="6" t="s">
        <v>14</v>
      </c>
      <c r="E1134" s="6" t="s">
        <v>18</v>
      </c>
      <c r="F1134" s="45">
        <v>4112.1034482758623</v>
      </c>
      <c r="G1134" s="6" t="s">
        <v>8</v>
      </c>
      <c r="H1134" s="6"/>
      <c r="I1134" s="16" t="s">
        <v>83</v>
      </c>
    </row>
    <row r="1135" spans="1:9" x14ac:dyDescent="0.25">
      <c r="A1135" s="6" t="s">
        <v>33</v>
      </c>
      <c r="B1135" s="5">
        <v>45925</v>
      </c>
      <c r="C1135" s="6" t="s">
        <v>1583</v>
      </c>
      <c r="D1135" s="6" t="s">
        <v>14</v>
      </c>
      <c r="E1135" s="6" t="s">
        <v>27</v>
      </c>
      <c r="F1135" s="45">
        <v>830</v>
      </c>
      <c r="G1135" s="6" t="s">
        <v>15</v>
      </c>
      <c r="H1135" s="6"/>
      <c r="I1135" s="16" t="s">
        <v>83</v>
      </c>
    </row>
    <row r="1136" spans="1:9" x14ac:dyDescent="0.25">
      <c r="A1136" s="6" t="s">
        <v>33</v>
      </c>
      <c r="B1136" s="5">
        <v>45926</v>
      </c>
      <c r="C1136" s="6" t="s">
        <v>1584</v>
      </c>
      <c r="D1136" s="6" t="s">
        <v>1585</v>
      </c>
      <c r="E1136" s="6" t="s">
        <v>16</v>
      </c>
      <c r="F1136" s="45">
        <v>2671.0000000000005</v>
      </c>
      <c r="G1136" s="6" t="s">
        <v>15</v>
      </c>
      <c r="H1136" s="6"/>
      <c r="I1136" s="16" t="s">
        <v>83</v>
      </c>
    </row>
    <row r="1137" spans="1:9" x14ac:dyDescent="0.25">
      <c r="A1137" s="6" t="s">
        <v>33</v>
      </c>
      <c r="B1137" s="5">
        <v>45927</v>
      </c>
      <c r="C1137" s="6" t="s">
        <v>1586</v>
      </c>
      <c r="D1137" s="6" t="s">
        <v>14</v>
      </c>
      <c r="E1137" s="6" t="s">
        <v>16</v>
      </c>
      <c r="F1137" s="45">
        <v>934.00000000000011</v>
      </c>
      <c r="G1137" s="6" t="s">
        <v>15</v>
      </c>
      <c r="H1137" s="6"/>
      <c r="I1137" s="16" t="s">
        <v>83</v>
      </c>
    </row>
    <row r="1138" spans="1:9" x14ac:dyDescent="0.25">
      <c r="A1138" s="6" t="s">
        <v>33</v>
      </c>
      <c r="B1138" s="5">
        <v>45927</v>
      </c>
      <c r="C1138" s="6" t="s">
        <v>1587</v>
      </c>
      <c r="D1138" s="6" t="s">
        <v>14</v>
      </c>
      <c r="E1138" s="6" t="s">
        <v>10</v>
      </c>
      <c r="F1138" s="45">
        <v>1300</v>
      </c>
      <c r="G1138" s="6" t="s">
        <v>8</v>
      </c>
      <c r="H1138" s="6"/>
      <c r="I1138" s="16" t="s">
        <v>83</v>
      </c>
    </row>
    <row r="1139" spans="1:9" x14ac:dyDescent="0.25">
      <c r="A1139" s="6" t="s">
        <v>33</v>
      </c>
      <c r="B1139" s="5">
        <v>45929</v>
      </c>
      <c r="C1139" s="6" t="s">
        <v>1588</v>
      </c>
      <c r="D1139" s="6" t="s">
        <v>14</v>
      </c>
      <c r="E1139" s="6" t="s">
        <v>11</v>
      </c>
      <c r="F1139" s="45">
        <v>258.62068965517244</v>
      </c>
      <c r="G1139" s="6" t="s">
        <v>15</v>
      </c>
      <c r="H1139" s="6"/>
      <c r="I1139" s="16" t="s">
        <v>83</v>
      </c>
    </row>
    <row r="1140" spans="1:9" x14ac:dyDescent="0.25">
      <c r="A1140" s="6" t="s">
        <v>33</v>
      </c>
      <c r="B1140" s="5">
        <v>45930</v>
      </c>
      <c r="C1140" s="6" t="s">
        <v>1589</v>
      </c>
      <c r="D1140" s="6" t="s">
        <v>1590</v>
      </c>
      <c r="E1140" s="6" t="s">
        <v>18</v>
      </c>
      <c r="F1140" s="45">
        <v>1120.6896551724139</v>
      </c>
      <c r="G1140" s="6" t="s">
        <v>15</v>
      </c>
      <c r="H1140" s="6"/>
      <c r="I1140" s="16" t="s">
        <v>83</v>
      </c>
    </row>
    <row r="1141" spans="1:9" x14ac:dyDescent="0.25">
      <c r="A1141" s="6" t="s">
        <v>33</v>
      </c>
      <c r="B1141" s="5">
        <v>45930</v>
      </c>
      <c r="C1141" s="21" t="s">
        <v>1591</v>
      </c>
      <c r="D1141" s="6" t="s">
        <v>22</v>
      </c>
      <c r="E1141" s="6" t="s">
        <v>1360</v>
      </c>
      <c r="F1141" s="45">
        <v>8478</v>
      </c>
      <c r="G1141" s="6" t="s">
        <v>34</v>
      </c>
      <c r="H1141" s="6"/>
      <c r="I1141" s="16" t="s">
        <v>83</v>
      </c>
    </row>
    <row r="1142" spans="1:9" x14ac:dyDescent="0.25">
      <c r="A1142" s="6" t="s">
        <v>33</v>
      </c>
      <c r="B1142" s="5">
        <v>45931</v>
      </c>
      <c r="C1142" s="6" t="s">
        <v>1592</v>
      </c>
      <c r="D1142" s="6" t="s">
        <v>14</v>
      </c>
      <c r="E1142" s="6" t="s">
        <v>10</v>
      </c>
      <c r="F1142" s="45">
        <v>172.41379310344828</v>
      </c>
      <c r="G1142" s="6" t="s">
        <v>8</v>
      </c>
      <c r="H1142" s="6"/>
      <c r="I1142" s="16" t="s">
        <v>83</v>
      </c>
    </row>
    <row r="1143" spans="1:9" x14ac:dyDescent="0.25">
      <c r="A1143" s="6" t="s">
        <v>33</v>
      </c>
      <c r="B1143" s="5">
        <v>45931</v>
      </c>
      <c r="C1143" s="6" t="s">
        <v>1593</v>
      </c>
      <c r="D1143" s="6" t="s">
        <v>14</v>
      </c>
      <c r="E1143" s="6" t="s">
        <v>10</v>
      </c>
      <c r="F1143" s="45">
        <v>172.41379310344828</v>
      </c>
      <c r="G1143" s="6" t="s">
        <v>8</v>
      </c>
      <c r="H1143" s="6"/>
      <c r="I1143" s="16" t="s">
        <v>83</v>
      </c>
    </row>
    <row r="1144" spans="1:9" x14ac:dyDescent="0.25">
      <c r="A1144" s="6" t="s">
        <v>33</v>
      </c>
      <c r="B1144" s="5">
        <v>45932</v>
      </c>
      <c r="C1144" s="6" t="s">
        <v>1594</v>
      </c>
      <c r="D1144" s="6" t="s">
        <v>1595</v>
      </c>
      <c r="E1144" s="6" t="s">
        <v>10</v>
      </c>
      <c r="F1144" s="45">
        <v>13760.000000000002</v>
      </c>
      <c r="G1144" s="6" t="s">
        <v>968</v>
      </c>
      <c r="H1144" s="6"/>
      <c r="I1144" s="16" t="s">
        <v>83</v>
      </c>
    </row>
    <row r="1145" spans="1:9" x14ac:dyDescent="0.25">
      <c r="A1145" s="6" t="s">
        <v>33</v>
      </c>
      <c r="B1145" s="5">
        <v>45933</v>
      </c>
      <c r="C1145" s="6" t="s">
        <v>1596</v>
      </c>
      <c r="D1145" s="6" t="s">
        <v>12</v>
      </c>
      <c r="E1145" s="6" t="s">
        <v>23</v>
      </c>
      <c r="F1145" s="45">
        <v>42400</v>
      </c>
      <c r="G1145" s="6" t="s">
        <v>13</v>
      </c>
      <c r="H1145" s="6" t="s">
        <v>1597</v>
      </c>
      <c r="I1145" s="16" t="s">
        <v>83</v>
      </c>
    </row>
    <row r="1146" spans="1:9" x14ac:dyDescent="0.25">
      <c r="A1146" s="6" t="s">
        <v>33</v>
      </c>
      <c r="B1146" s="5">
        <v>45933</v>
      </c>
      <c r="C1146" s="6" t="s">
        <v>1598</v>
      </c>
      <c r="D1146" s="6" t="s">
        <v>14</v>
      </c>
      <c r="E1146" s="6" t="s">
        <v>16</v>
      </c>
      <c r="F1146" s="45">
        <v>872</v>
      </c>
      <c r="G1146" s="6" t="s">
        <v>15</v>
      </c>
      <c r="H1146" s="6"/>
      <c r="I1146" s="16" t="s">
        <v>83</v>
      </c>
    </row>
    <row r="1147" spans="1:9" x14ac:dyDescent="0.25">
      <c r="A1147" s="6" t="s">
        <v>33</v>
      </c>
      <c r="B1147" s="5">
        <v>45934</v>
      </c>
      <c r="C1147" s="6" t="s">
        <v>1599</v>
      </c>
      <c r="D1147" s="6" t="s">
        <v>1600</v>
      </c>
      <c r="E1147" s="6" t="s">
        <v>20</v>
      </c>
      <c r="F1147" s="45">
        <v>9224.1379310344837</v>
      </c>
      <c r="G1147" s="6" t="s">
        <v>968</v>
      </c>
      <c r="H1147" s="6" t="s">
        <v>1601</v>
      </c>
      <c r="I1147" s="16" t="s">
        <v>83</v>
      </c>
    </row>
    <row r="1148" spans="1:9" x14ac:dyDescent="0.25">
      <c r="A1148" s="6" t="s">
        <v>33</v>
      </c>
      <c r="B1148" s="5">
        <v>45934</v>
      </c>
      <c r="C1148" s="6" t="s">
        <v>1602</v>
      </c>
      <c r="D1148" s="6" t="s">
        <v>30</v>
      </c>
      <c r="E1148" s="6"/>
      <c r="F1148" s="45">
        <v>0</v>
      </c>
      <c r="G1148" s="6"/>
      <c r="H1148" s="6"/>
      <c r="I1148" s="16" t="s">
        <v>83</v>
      </c>
    </row>
    <row r="1149" spans="1:9" x14ac:dyDescent="0.25">
      <c r="A1149" s="6" t="s">
        <v>33</v>
      </c>
      <c r="B1149" s="5">
        <v>45934</v>
      </c>
      <c r="C1149" s="6" t="s">
        <v>1603</v>
      </c>
      <c r="D1149" s="6" t="s">
        <v>1604</v>
      </c>
      <c r="E1149" s="6" t="s">
        <v>10</v>
      </c>
      <c r="F1149" s="45">
        <v>1293.1034482758621</v>
      </c>
      <c r="G1149" s="6" t="s">
        <v>8</v>
      </c>
      <c r="H1149" s="6"/>
      <c r="I1149" s="16" t="s">
        <v>83</v>
      </c>
    </row>
    <row r="1150" spans="1:9" x14ac:dyDescent="0.25">
      <c r="A1150" s="6" t="s">
        <v>33</v>
      </c>
      <c r="B1150" s="5">
        <v>45936</v>
      </c>
      <c r="C1150" s="6" t="s">
        <v>1605</v>
      </c>
      <c r="D1150" s="6" t="s">
        <v>14</v>
      </c>
      <c r="E1150" s="6" t="s">
        <v>16</v>
      </c>
      <c r="F1150" s="45">
        <v>1799.1465517241381</v>
      </c>
      <c r="G1150" s="6" t="s">
        <v>15</v>
      </c>
      <c r="H1150" s="6"/>
      <c r="I1150" s="16" t="s">
        <v>83</v>
      </c>
    </row>
    <row r="1151" spans="1:9" x14ac:dyDescent="0.25">
      <c r="A1151" s="6" t="s">
        <v>33</v>
      </c>
      <c r="B1151" s="5">
        <v>45936</v>
      </c>
      <c r="C1151" s="6" t="s">
        <v>1606</v>
      </c>
      <c r="D1151" s="6" t="s">
        <v>14</v>
      </c>
      <c r="E1151" s="6" t="s">
        <v>10</v>
      </c>
      <c r="F1151" s="45">
        <v>172.41379310344828</v>
      </c>
      <c r="G1151" s="6" t="s">
        <v>8</v>
      </c>
      <c r="H1151" s="6"/>
      <c r="I1151" s="16" t="s">
        <v>83</v>
      </c>
    </row>
    <row r="1152" spans="1:9" x14ac:dyDescent="0.25">
      <c r="A1152" s="6" t="s">
        <v>33</v>
      </c>
      <c r="B1152" s="5">
        <v>45936</v>
      </c>
      <c r="C1152" s="6" t="s">
        <v>1607</v>
      </c>
      <c r="D1152" s="6" t="s">
        <v>14</v>
      </c>
      <c r="E1152" s="6" t="s">
        <v>10</v>
      </c>
      <c r="F1152" s="45">
        <v>43.103448275862071</v>
      </c>
      <c r="G1152" s="6" t="s">
        <v>8</v>
      </c>
      <c r="H1152" s="6"/>
      <c r="I1152" s="16" t="s">
        <v>83</v>
      </c>
    </row>
    <row r="1153" spans="1:9" x14ac:dyDescent="0.25">
      <c r="A1153" s="6" t="s">
        <v>33</v>
      </c>
      <c r="B1153" s="5">
        <v>45936</v>
      </c>
      <c r="C1153" s="6" t="s">
        <v>1608</v>
      </c>
      <c r="D1153" s="6" t="s">
        <v>1239</v>
      </c>
      <c r="E1153" s="6" t="s">
        <v>23</v>
      </c>
      <c r="F1153" s="45">
        <v>88200</v>
      </c>
      <c r="G1153" s="6" t="s">
        <v>968</v>
      </c>
      <c r="H1153" s="6" t="s">
        <v>1609</v>
      </c>
      <c r="I1153" s="16" t="s">
        <v>83</v>
      </c>
    </row>
    <row r="1154" spans="1:9" x14ac:dyDescent="0.25">
      <c r="A1154" s="6" t="s">
        <v>33</v>
      </c>
      <c r="B1154" s="5">
        <v>45936</v>
      </c>
      <c r="C1154" s="6" t="s">
        <v>1610</v>
      </c>
      <c r="D1154" s="6" t="s">
        <v>22</v>
      </c>
      <c r="E1154" s="6"/>
      <c r="F1154" s="45">
        <v>0</v>
      </c>
      <c r="G1154" s="6"/>
      <c r="H1154" s="6"/>
      <c r="I1154" s="16" t="s">
        <v>83</v>
      </c>
    </row>
    <row r="1155" spans="1:9" x14ac:dyDescent="0.25">
      <c r="A1155" s="6" t="s">
        <v>33</v>
      </c>
      <c r="B1155" s="5">
        <v>45938</v>
      </c>
      <c r="C1155" s="6" t="s">
        <v>1611</v>
      </c>
      <c r="D1155" s="6" t="s">
        <v>1149</v>
      </c>
      <c r="E1155" s="6" t="s">
        <v>16</v>
      </c>
      <c r="F1155" s="45">
        <v>2722.4137931034484</v>
      </c>
      <c r="G1155" s="6" t="s">
        <v>15</v>
      </c>
      <c r="H1155" s="6"/>
      <c r="I1155" s="16" t="s">
        <v>83</v>
      </c>
    </row>
    <row r="1156" spans="1:9" x14ac:dyDescent="0.25">
      <c r="A1156" s="6" t="s">
        <v>33</v>
      </c>
      <c r="B1156" s="5">
        <v>45940</v>
      </c>
      <c r="C1156" s="6" t="s">
        <v>1612</v>
      </c>
      <c r="D1156" s="7" t="s">
        <v>14</v>
      </c>
      <c r="E1156" s="6" t="s">
        <v>16</v>
      </c>
      <c r="F1156" s="45">
        <v>3817.3017241379312</v>
      </c>
      <c r="G1156" s="7" t="s">
        <v>15</v>
      </c>
      <c r="H1156" s="6"/>
      <c r="I1156" s="16" t="s">
        <v>83</v>
      </c>
    </row>
    <row r="1157" spans="1:9" x14ac:dyDescent="0.25">
      <c r="A1157" s="6" t="s">
        <v>33</v>
      </c>
      <c r="B1157" s="5">
        <v>45943</v>
      </c>
      <c r="C1157" s="6" t="s">
        <v>1613</v>
      </c>
      <c r="D1157" s="6" t="s">
        <v>38</v>
      </c>
      <c r="E1157" s="6" t="s">
        <v>27</v>
      </c>
      <c r="F1157" s="45">
        <v>919.91379310344826</v>
      </c>
      <c r="G1157" s="6" t="s">
        <v>13</v>
      </c>
      <c r="H1157" s="6"/>
      <c r="I1157" s="16" t="s">
        <v>83</v>
      </c>
    </row>
    <row r="1158" spans="1:9" x14ac:dyDescent="0.25">
      <c r="A1158" s="6" t="s">
        <v>33</v>
      </c>
      <c r="B1158" s="5">
        <v>45943</v>
      </c>
      <c r="C1158" s="6" t="s">
        <v>1614</v>
      </c>
      <c r="D1158" s="6" t="s">
        <v>38</v>
      </c>
      <c r="E1158" s="6" t="s">
        <v>27</v>
      </c>
      <c r="F1158" s="45">
        <v>909.07758620689663</v>
      </c>
      <c r="G1158" s="6" t="s">
        <v>13</v>
      </c>
      <c r="H1158" s="6"/>
      <c r="I1158" s="16" t="s">
        <v>83</v>
      </c>
    </row>
    <row r="1159" spans="1:9" x14ac:dyDescent="0.25">
      <c r="A1159" s="6" t="s">
        <v>33</v>
      </c>
      <c r="B1159" s="5">
        <v>45943</v>
      </c>
      <c r="C1159" s="6" t="s">
        <v>1615</v>
      </c>
      <c r="D1159" s="6" t="s">
        <v>38</v>
      </c>
      <c r="E1159" s="6" t="s">
        <v>27</v>
      </c>
      <c r="F1159" s="45">
        <v>930.41379310344837</v>
      </c>
      <c r="G1159" s="6" t="s">
        <v>13</v>
      </c>
      <c r="H1159" s="6"/>
      <c r="I1159" s="16" t="s">
        <v>83</v>
      </c>
    </row>
    <row r="1160" spans="1:9" x14ac:dyDescent="0.25">
      <c r="A1160" s="6" t="s">
        <v>33</v>
      </c>
      <c r="B1160" s="5">
        <v>45943</v>
      </c>
      <c r="C1160" s="6" t="s">
        <v>1616</v>
      </c>
      <c r="D1160" s="6" t="s">
        <v>14</v>
      </c>
      <c r="E1160" s="6" t="s">
        <v>10</v>
      </c>
      <c r="F1160" s="45">
        <v>215.51724137931035</v>
      </c>
      <c r="G1160" s="6" t="s">
        <v>8</v>
      </c>
      <c r="H1160" s="6"/>
      <c r="I1160" s="16" t="s">
        <v>83</v>
      </c>
    </row>
    <row r="1161" spans="1:9" x14ac:dyDescent="0.25">
      <c r="A1161" s="6" t="s">
        <v>33</v>
      </c>
      <c r="B1161" s="5">
        <v>45943</v>
      </c>
      <c r="C1161" s="6" t="s">
        <v>1617</v>
      </c>
      <c r="D1161" s="6" t="s">
        <v>14</v>
      </c>
      <c r="E1161" s="6" t="s">
        <v>20</v>
      </c>
      <c r="F1161" s="45">
        <v>3189.6637931034488</v>
      </c>
      <c r="G1161" s="6" t="s">
        <v>8</v>
      </c>
      <c r="H1161" s="6" t="s">
        <v>44</v>
      </c>
      <c r="I1161" s="16" t="s">
        <v>83</v>
      </c>
    </row>
    <row r="1162" spans="1:9" x14ac:dyDescent="0.25">
      <c r="A1162" s="6" t="s">
        <v>33</v>
      </c>
      <c r="B1162" s="5">
        <v>45943</v>
      </c>
      <c r="C1162" s="6" t="s">
        <v>1618</v>
      </c>
      <c r="D1162" s="6" t="s">
        <v>14</v>
      </c>
      <c r="E1162" s="6" t="s">
        <v>11</v>
      </c>
      <c r="F1162" s="45">
        <v>258.62068965517244</v>
      </c>
      <c r="G1162" s="6" t="s">
        <v>15</v>
      </c>
      <c r="H1162" s="6"/>
      <c r="I1162" s="16" t="s">
        <v>83</v>
      </c>
    </row>
    <row r="1163" spans="1:9" x14ac:dyDescent="0.25">
      <c r="A1163" s="6" t="s">
        <v>33</v>
      </c>
      <c r="B1163" s="5">
        <v>45943</v>
      </c>
      <c r="C1163" s="6" t="s">
        <v>1619</v>
      </c>
      <c r="D1163" s="6" t="s">
        <v>14</v>
      </c>
      <c r="E1163" s="6" t="s">
        <v>16</v>
      </c>
      <c r="F1163" s="45">
        <v>1736</v>
      </c>
      <c r="G1163" s="6" t="s">
        <v>15</v>
      </c>
      <c r="H1163" s="6"/>
      <c r="I1163" s="16" t="s">
        <v>83</v>
      </c>
    </row>
    <row r="1164" spans="1:9" x14ac:dyDescent="0.25">
      <c r="A1164" s="6" t="s">
        <v>33</v>
      </c>
      <c r="B1164" s="5">
        <v>45944</v>
      </c>
      <c r="C1164" s="6" t="s">
        <v>1620</v>
      </c>
      <c r="D1164" s="6" t="s">
        <v>1114</v>
      </c>
      <c r="E1164" s="6" t="s">
        <v>23</v>
      </c>
      <c r="F1164" s="45">
        <v>20700</v>
      </c>
      <c r="G1164" s="6" t="s">
        <v>968</v>
      </c>
      <c r="H1164" s="6" t="s">
        <v>52</v>
      </c>
      <c r="I1164" s="16" t="s">
        <v>83</v>
      </c>
    </row>
    <row r="1165" spans="1:9" x14ac:dyDescent="0.25">
      <c r="A1165" s="6" t="s">
        <v>33</v>
      </c>
      <c r="B1165" s="5">
        <v>45944</v>
      </c>
      <c r="C1165" s="6" t="s">
        <v>1621</v>
      </c>
      <c r="D1165" s="6" t="s">
        <v>14</v>
      </c>
      <c r="E1165" s="6" t="s">
        <v>10</v>
      </c>
      <c r="F1165" s="45">
        <v>172.41379310344828</v>
      </c>
      <c r="G1165" s="6" t="s">
        <v>8</v>
      </c>
      <c r="H1165" s="6"/>
      <c r="I1165" s="16" t="s">
        <v>83</v>
      </c>
    </row>
    <row r="1166" spans="1:9" x14ac:dyDescent="0.25">
      <c r="A1166" s="6" t="s">
        <v>33</v>
      </c>
      <c r="B1166" s="5">
        <v>45945</v>
      </c>
      <c r="C1166" s="6" t="s">
        <v>1622</v>
      </c>
      <c r="D1166" s="6" t="s">
        <v>1521</v>
      </c>
      <c r="E1166" s="6" t="s">
        <v>23</v>
      </c>
      <c r="F1166" s="45">
        <v>13816</v>
      </c>
      <c r="G1166" s="6" t="s">
        <v>13</v>
      </c>
      <c r="H1166" s="6" t="s">
        <v>1143</v>
      </c>
      <c r="I1166" s="16" t="s">
        <v>83</v>
      </c>
    </row>
    <row r="1167" spans="1:9" x14ac:dyDescent="0.25">
      <c r="A1167" s="6" t="s">
        <v>33</v>
      </c>
      <c r="B1167" s="5">
        <v>45945</v>
      </c>
      <c r="C1167" s="6" t="s">
        <v>1623</v>
      </c>
      <c r="D1167" s="6" t="s">
        <v>1518</v>
      </c>
      <c r="E1167" s="6" t="s">
        <v>16</v>
      </c>
      <c r="F1167" s="45">
        <v>4021</v>
      </c>
      <c r="G1167" s="6" t="s">
        <v>15</v>
      </c>
      <c r="H1167" s="6"/>
      <c r="I1167" s="16" t="s">
        <v>83</v>
      </c>
    </row>
    <row r="1168" spans="1:9" x14ac:dyDescent="0.25">
      <c r="A1168" s="6" t="s">
        <v>33</v>
      </c>
      <c r="B1168" s="5">
        <v>45945</v>
      </c>
      <c r="C1168" s="6" t="s">
        <v>1624</v>
      </c>
      <c r="D1168" s="6" t="s">
        <v>14</v>
      </c>
      <c r="E1168" s="6" t="s">
        <v>18</v>
      </c>
      <c r="F1168" s="45">
        <v>431.04310344827587</v>
      </c>
      <c r="G1168" s="6" t="s">
        <v>15</v>
      </c>
      <c r="H1168" s="6"/>
      <c r="I1168" s="16" t="s">
        <v>83</v>
      </c>
    </row>
    <row r="1169" spans="1:9" x14ac:dyDescent="0.25">
      <c r="A1169" s="6" t="s">
        <v>33</v>
      </c>
      <c r="B1169" s="5">
        <v>45946</v>
      </c>
      <c r="C1169" s="6" t="s">
        <v>1625</v>
      </c>
      <c r="D1169" s="6" t="s">
        <v>62</v>
      </c>
      <c r="E1169" s="6" t="s">
        <v>16</v>
      </c>
      <c r="F1169" s="45">
        <v>4064</v>
      </c>
      <c r="G1169" s="6" t="s">
        <v>15</v>
      </c>
      <c r="H1169" s="6"/>
      <c r="I1169" s="16" t="s">
        <v>83</v>
      </c>
    </row>
    <row r="1170" spans="1:9" x14ac:dyDescent="0.25">
      <c r="A1170" s="6" t="s">
        <v>33</v>
      </c>
      <c r="B1170" s="5">
        <v>45948</v>
      </c>
      <c r="C1170" s="6" t="s">
        <v>1626</v>
      </c>
      <c r="D1170" s="6" t="s">
        <v>14</v>
      </c>
      <c r="E1170" s="6" t="s">
        <v>11</v>
      </c>
      <c r="F1170" s="45">
        <v>258.62068965517244</v>
      </c>
      <c r="G1170" s="6" t="s">
        <v>15</v>
      </c>
      <c r="H1170" s="6"/>
      <c r="I1170" s="16" t="s">
        <v>83</v>
      </c>
    </row>
    <row r="1171" spans="1:9" x14ac:dyDescent="0.25">
      <c r="A1171" s="6" t="s">
        <v>33</v>
      </c>
      <c r="B1171" s="5">
        <v>45950</v>
      </c>
      <c r="C1171" s="6" t="s">
        <v>1627</v>
      </c>
      <c r="D1171" s="6" t="s">
        <v>1628</v>
      </c>
      <c r="E1171" s="6" t="s">
        <v>16</v>
      </c>
      <c r="F1171" s="45">
        <v>3605.0000000000005</v>
      </c>
      <c r="G1171" s="6" t="s">
        <v>968</v>
      </c>
      <c r="H1171" s="6"/>
      <c r="I1171" s="16" t="s">
        <v>83</v>
      </c>
    </row>
    <row r="1172" spans="1:9" x14ac:dyDescent="0.25">
      <c r="A1172" s="6" t="s">
        <v>33</v>
      </c>
      <c r="B1172" s="5">
        <v>45953</v>
      </c>
      <c r="C1172" s="6" t="s">
        <v>1629</v>
      </c>
      <c r="D1172" s="6" t="s">
        <v>22</v>
      </c>
      <c r="E1172" s="6"/>
      <c r="F1172" s="45">
        <v>0</v>
      </c>
      <c r="G1172" s="6"/>
      <c r="H1172" s="6"/>
      <c r="I1172" s="16" t="s">
        <v>83</v>
      </c>
    </row>
    <row r="1173" spans="1:9" x14ac:dyDescent="0.25">
      <c r="A1173" s="6" t="s">
        <v>33</v>
      </c>
      <c r="B1173" s="5">
        <v>45953</v>
      </c>
      <c r="C1173" s="6" t="s">
        <v>1630</v>
      </c>
      <c r="D1173" s="6" t="s">
        <v>1087</v>
      </c>
      <c r="E1173" s="6" t="s">
        <v>10</v>
      </c>
      <c r="F1173" s="45">
        <v>996</v>
      </c>
      <c r="G1173" s="6" t="s">
        <v>968</v>
      </c>
      <c r="H1173" s="6"/>
      <c r="I1173" s="16" t="s">
        <v>83</v>
      </c>
    </row>
    <row r="1174" spans="1:9" x14ac:dyDescent="0.25">
      <c r="A1174" s="6" t="s">
        <v>33</v>
      </c>
      <c r="B1174" s="5">
        <v>45953</v>
      </c>
      <c r="C1174" s="6" t="s">
        <v>1631</v>
      </c>
      <c r="D1174" s="6" t="s">
        <v>1239</v>
      </c>
      <c r="E1174" s="6" t="s">
        <v>18</v>
      </c>
      <c r="F1174" s="45">
        <v>2610</v>
      </c>
      <c r="G1174" s="6" t="s">
        <v>968</v>
      </c>
      <c r="H1174" s="6"/>
      <c r="I1174" s="16" t="s">
        <v>83</v>
      </c>
    </row>
    <row r="1175" spans="1:9" x14ac:dyDescent="0.25">
      <c r="A1175" s="6" t="s">
        <v>33</v>
      </c>
      <c r="B1175" s="5">
        <v>45953</v>
      </c>
      <c r="C1175" s="6" t="s">
        <v>1632</v>
      </c>
      <c r="D1175" s="6" t="s">
        <v>1239</v>
      </c>
      <c r="E1175" s="6" t="s">
        <v>10</v>
      </c>
      <c r="F1175" s="45">
        <v>652.00000000000011</v>
      </c>
      <c r="G1175" s="6" t="s">
        <v>968</v>
      </c>
      <c r="H1175" s="6"/>
      <c r="I1175" s="16" t="s">
        <v>83</v>
      </c>
    </row>
    <row r="1176" spans="1:9" x14ac:dyDescent="0.25">
      <c r="A1176" s="6" t="s">
        <v>33</v>
      </c>
      <c r="B1176" s="5">
        <v>45953</v>
      </c>
      <c r="C1176" s="6" t="s">
        <v>1633</v>
      </c>
      <c r="D1176" s="6" t="s">
        <v>1439</v>
      </c>
      <c r="E1176" s="6" t="s">
        <v>18</v>
      </c>
      <c r="F1176" s="45">
        <v>350</v>
      </c>
      <c r="G1176" s="6" t="s">
        <v>13</v>
      </c>
      <c r="H1176" s="6"/>
      <c r="I1176" s="16" t="s">
        <v>83</v>
      </c>
    </row>
    <row r="1177" spans="1:9" x14ac:dyDescent="0.25">
      <c r="A1177" s="6" t="s">
        <v>33</v>
      </c>
      <c r="B1177" s="5">
        <v>45954</v>
      </c>
      <c r="C1177" s="6" t="s">
        <v>1634</v>
      </c>
      <c r="D1177" s="6" t="s">
        <v>14</v>
      </c>
      <c r="E1177" s="7" t="s">
        <v>10</v>
      </c>
      <c r="F1177" s="45">
        <v>155.18103448275863</v>
      </c>
      <c r="G1177" s="7" t="s">
        <v>8</v>
      </c>
      <c r="H1177" s="6"/>
      <c r="I1177" s="16" t="s">
        <v>83</v>
      </c>
    </row>
    <row r="1178" spans="1:9" x14ac:dyDescent="0.25">
      <c r="A1178" s="6" t="s">
        <v>33</v>
      </c>
      <c r="B1178" s="5">
        <v>45954</v>
      </c>
      <c r="C1178" s="6" t="s">
        <v>1635</v>
      </c>
      <c r="D1178" s="6" t="s">
        <v>14</v>
      </c>
      <c r="E1178" s="6" t="s">
        <v>10</v>
      </c>
      <c r="F1178" s="45">
        <v>189.66379310344828</v>
      </c>
      <c r="G1178" s="6" t="s">
        <v>8</v>
      </c>
      <c r="H1178" s="6"/>
      <c r="I1178" s="16" t="s">
        <v>83</v>
      </c>
    </row>
    <row r="1179" spans="1:9" x14ac:dyDescent="0.25">
      <c r="A1179" s="6" t="s">
        <v>33</v>
      </c>
      <c r="B1179" s="5">
        <v>45957</v>
      </c>
      <c r="C1179" s="6" t="s">
        <v>1636</v>
      </c>
      <c r="D1179" s="6" t="s">
        <v>14</v>
      </c>
      <c r="E1179" s="6" t="s">
        <v>10</v>
      </c>
      <c r="F1179" s="45">
        <v>1465.5172413793105</v>
      </c>
      <c r="G1179" s="6" t="s">
        <v>8</v>
      </c>
      <c r="H1179" s="6"/>
      <c r="I1179" s="16" t="s">
        <v>83</v>
      </c>
    </row>
    <row r="1180" spans="1:9" x14ac:dyDescent="0.25">
      <c r="A1180" s="6" t="s">
        <v>33</v>
      </c>
      <c r="B1180" s="5">
        <v>45957</v>
      </c>
      <c r="C1180" s="21" t="s">
        <v>1637</v>
      </c>
      <c r="D1180" s="6" t="s">
        <v>22</v>
      </c>
      <c r="E1180" s="6" t="s">
        <v>18</v>
      </c>
      <c r="F1180" s="45">
        <v>1611</v>
      </c>
      <c r="G1180" s="6" t="s">
        <v>34</v>
      </c>
      <c r="H1180" s="6"/>
      <c r="I1180" s="16" t="s">
        <v>83</v>
      </c>
    </row>
    <row r="1181" spans="1:9" x14ac:dyDescent="0.25">
      <c r="A1181" s="6" t="s">
        <v>33</v>
      </c>
      <c r="B1181" s="5">
        <v>45957</v>
      </c>
      <c r="C1181" s="6" t="s">
        <v>1638</v>
      </c>
      <c r="D1181" s="6" t="s">
        <v>14</v>
      </c>
      <c r="E1181" s="6" t="s">
        <v>10</v>
      </c>
      <c r="F1181" s="45">
        <v>824.00000000000011</v>
      </c>
      <c r="G1181" s="6" t="s">
        <v>15</v>
      </c>
      <c r="H1181" s="6"/>
      <c r="I1181" s="16" t="s">
        <v>83</v>
      </c>
    </row>
    <row r="1182" spans="1:9" x14ac:dyDescent="0.25">
      <c r="A1182" s="6" t="s">
        <v>33</v>
      </c>
      <c r="B1182" s="5">
        <v>45957</v>
      </c>
      <c r="C1182" s="6" t="s">
        <v>1639</v>
      </c>
      <c r="D1182" s="6" t="s">
        <v>967</v>
      </c>
      <c r="E1182" s="6" t="s">
        <v>18</v>
      </c>
      <c r="F1182" s="45">
        <v>2101</v>
      </c>
      <c r="G1182" s="6" t="s">
        <v>968</v>
      </c>
      <c r="H1182" s="6"/>
      <c r="I1182" s="16" t="s">
        <v>83</v>
      </c>
    </row>
    <row r="1183" spans="1:9" x14ac:dyDescent="0.25">
      <c r="A1183" s="6" t="s">
        <v>33</v>
      </c>
      <c r="B1183" s="5">
        <v>45958</v>
      </c>
      <c r="C1183" s="6" t="s">
        <v>1640</v>
      </c>
      <c r="D1183" s="6" t="s">
        <v>941</v>
      </c>
      <c r="E1183" s="6" t="s">
        <v>18</v>
      </c>
      <c r="F1183" s="45">
        <v>855</v>
      </c>
      <c r="G1183" s="6" t="s">
        <v>968</v>
      </c>
      <c r="H1183" s="6"/>
      <c r="I1183" s="16" t="s">
        <v>83</v>
      </c>
    </row>
    <row r="1184" spans="1:9" x14ac:dyDescent="0.25">
      <c r="A1184" s="6" t="s">
        <v>33</v>
      </c>
      <c r="B1184" s="5">
        <v>45958</v>
      </c>
      <c r="C1184" s="6" t="s">
        <v>1641</v>
      </c>
      <c r="D1184" s="6" t="s">
        <v>1303</v>
      </c>
      <c r="E1184" s="6" t="s">
        <v>10</v>
      </c>
      <c r="F1184" s="45">
        <v>782.25</v>
      </c>
      <c r="G1184" s="6" t="s">
        <v>47</v>
      </c>
      <c r="H1184" s="6"/>
      <c r="I1184" s="16" t="s">
        <v>83</v>
      </c>
    </row>
    <row r="1185" spans="1:9" x14ac:dyDescent="0.25">
      <c r="A1185" s="6" t="s">
        <v>33</v>
      </c>
      <c r="B1185" s="5">
        <v>45960</v>
      </c>
      <c r="C1185" s="6" t="s">
        <v>1642</v>
      </c>
      <c r="D1185" s="6" t="s">
        <v>14</v>
      </c>
      <c r="E1185" s="6" t="s">
        <v>10</v>
      </c>
      <c r="F1185" s="45">
        <v>301.72413793103448</v>
      </c>
      <c r="G1185" s="6" t="s">
        <v>8</v>
      </c>
      <c r="H1185" s="6"/>
      <c r="I1185" s="16" t="s">
        <v>83</v>
      </c>
    </row>
    <row r="1186" spans="1:9" x14ac:dyDescent="0.25">
      <c r="A1186" s="6" t="s">
        <v>33</v>
      </c>
      <c r="B1186" s="5">
        <v>45960</v>
      </c>
      <c r="C1186" s="6" t="s">
        <v>1643</v>
      </c>
      <c r="D1186" s="6" t="s">
        <v>14</v>
      </c>
      <c r="E1186" s="6" t="s">
        <v>11</v>
      </c>
      <c r="F1186" s="45">
        <v>258.62068965517244</v>
      </c>
      <c r="G1186" s="6" t="s">
        <v>15</v>
      </c>
      <c r="H1186" s="6"/>
      <c r="I1186" s="16" t="s">
        <v>83</v>
      </c>
    </row>
    <row r="1187" spans="1:9" x14ac:dyDescent="0.25">
      <c r="A1187" s="6" t="s">
        <v>33</v>
      </c>
      <c r="B1187" s="5">
        <v>45960</v>
      </c>
      <c r="C1187" s="6" t="s">
        <v>1644</v>
      </c>
      <c r="D1187" s="6" t="s">
        <v>1645</v>
      </c>
      <c r="E1187" s="6" t="s">
        <v>16</v>
      </c>
      <c r="F1187" s="45">
        <v>2618.0000000000005</v>
      </c>
      <c r="G1187" s="6" t="s">
        <v>15</v>
      </c>
      <c r="H1187" s="6"/>
      <c r="I1187" s="16" t="s">
        <v>83</v>
      </c>
    </row>
    <row r="1188" spans="1:9" x14ac:dyDescent="0.25">
      <c r="A1188" s="6" t="s">
        <v>33</v>
      </c>
      <c r="B1188" s="5">
        <v>45961</v>
      </c>
      <c r="C1188" s="6" t="s">
        <v>1646</v>
      </c>
      <c r="D1188" s="6" t="s">
        <v>1114</v>
      </c>
      <c r="E1188" s="6" t="s">
        <v>20</v>
      </c>
      <c r="F1188" s="45">
        <v>4667.2413793103451</v>
      </c>
      <c r="G1188" s="6" t="s">
        <v>968</v>
      </c>
      <c r="H1188" s="6" t="s">
        <v>1647</v>
      </c>
      <c r="I1188" s="16" t="s">
        <v>83</v>
      </c>
    </row>
    <row r="1189" spans="1:9" x14ac:dyDescent="0.25">
      <c r="A1189" s="6" t="s">
        <v>33</v>
      </c>
      <c r="B1189" s="5">
        <v>45961</v>
      </c>
      <c r="C1189" s="6" t="s">
        <v>1648</v>
      </c>
      <c r="D1189" s="6" t="s">
        <v>22</v>
      </c>
      <c r="E1189" s="6"/>
      <c r="F1189" s="45">
        <v>0</v>
      </c>
      <c r="G1189" s="6"/>
      <c r="H1189" s="6"/>
      <c r="I1189" s="16" t="s">
        <v>83</v>
      </c>
    </row>
    <row r="1190" spans="1:9" x14ac:dyDescent="0.25">
      <c r="A1190" s="6" t="s">
        <v>33</v>
      </c>
      <c r="B1190" s="5">
        <v>45961</v>
      </c>
      <c r="C1190" s="6" t="s">
        <v>1649</v>
      </c>
      <c r="D1190" s="6" t="s">
        <v>14</v>
      </c>
      <c r="E1190" s="6" t="s">
        <v>10</v>
      </c>
      <c r="F1190" s="45">
        <v>215.51724137931035</v>
      </c>
      <c r="G1190" s="6" t="s">
        <v>8</v>
      </c>
      <c r="H1190" s="6"/>
      <c r="I1190" s="16" t="s">
        <v>83</v>
      </c>
    </row>
    <row r="1191" spans="1:9" x14ac:dyDescent="0.25">
      <c r="A1191" s="6" t="s">
        <v>33</v>
      </c>
      <c r="B1191" s="5">
        <v>45961</v>
      </c>
      <c r="C1191" s="6" t="s">
        <v>1650</v>
      </c>
      <c r="D1191" s="6" t="s">
        <v>1114</v>
      </c>
      <c r="E1191" s="6" t="s">
        <v>23</v>
      </c>
      <c r="F1191" s="45">
        <v>20700</v>
      </c>
      <c r="G1191" s="6" t="s">
        <v>968</v>
      </c>
      <c r="H1191" s="6" t="s">
        <v>52</v>
      </c>
      <c r="I1191" s="16" t="s">
        <v>83</v>
      </c>
    </row>
    <row r="1192" spans="1:9" x14ac:dyDescent="0.25">
      <c r="A1192" s="6" t="s">
        <v>33</v>
      </c>
      <c r="B1192" s="5">
        <v>45961</v>
      </c>
      <c r="C1192" s="6" t="s">
        <v>1651</v>
      </c>
      <c r="D1192" s="6" t="s">
        <v>14</v>
      </c>
      <c r="E1192" s="6" t="s">
        <v>16</v>
      </c>
      <c r="F1192" s="45">
        <v>819</v>
      </c>
      <c r="G1192" s="6" t="s">
        <v>15</v>
      </c>
      <c r="H1192" s="6"/>
      <c r="I1192" s="16" t="s">
        <v>83</v>
      </c>
    </row>
    <row r="1193" spans="1:9" x14ac:dyDescent="0.25">
      <c r="A1193" s="6" t="s">
        <v>33</v>
      </c>
      <c r="B1193" s="5">
        <v>45961</v>
      </c>
      <c r="C1193" s="6" t="s">
        <v>1652</v>
      </c>
      <c r="D1193" s="6" t="s">
        <v>1114</v>
      </c>
      <c r="E1193" s="6" t="s">
        <v>10</v>
      </c>
      <c r="F1193" s="45">
        <v>6993.0000000000009</v>
      </c>
      <c r="G1193" s="6" t="s">
        <v>968</v>
      </c>
      <c r="H1193" s="6"/>
      <c r="I1193" s="16" t="s">
        <v>83</v>
      </c>
    </row>
    <row r="1194" spans="1:9" x14ac:dyDescent="0.25">
      <c r="A1194" s="6" t="s">
        <v>33</v>
      </c>
      <c r="B1194" s="5">
        <v>45964</v>
      </c>
      <c r="C1194" s="6" t="s">
        <v>1653</v>
      </c>
      <c r="D1194" s="6" t="s">
        <v>1654</v>
      </c>
      <c r="E1194" s="6"/>
      <c r="F1194" s="45">
        <v>0</v>
      </c>
      <c r="G1194" s="6"/>
      <c r="H1194" s="6"/>
      <c r="I1194" s="16" t="s">
        <v>83</v>
      </c>
    </row>
    <row r="1195" spans="1:9" x14ac:dyDescent="0.25">
      <c r="A1195" s="6" t="s">
        <v>33</v>
      </c>
      <c r="B1195" s="5">
        <v>45965</v>
      </c>
      <c r="C1195" s="6" t="s">
        <v>1655</v>
      </c>
      <c r="D1195" s="6" t="s">
        <v>1656</v>
      </c>
      <c r="E1195" s="6" t="s">
        <v>20</v>
      </c>
      <c r="F1195" s="45">
        <v>2931.0344827586209</v>
      </c>
      <c r="G1195" s="6" t="s">
        <v>8</v>
      </c>
      <c r="H1195" s="6" t="s">
        <v>67</v>
      </c>
      <c r="I1195" s="16" t="s">
        <v>83</v>
      </c>
    </row>
    <row r="1196" spans="1:9" x14ac:dyDescent="0.25">
      <c r="A1196" s="6" t="s">
        <v>33</v>
      </c>
      <c r="B1196" s="5">
        <v>45965</v>
      </c>
      <c r="C1196" s="6" t="s">
        <v>1657</v>
      </c>
      <c r="D1196" s="6" t="s">
        <v>1303</v>
      </c>
      <c r="E1196" s="6" t="s">
        <v>16</v>
      </c>
      <c r="F1196" s="45">
        <v>5354.3706896551721</v>
      </c>
      <c r="G1196" s="6" t="s">
        <v>47</v>
      </c>
      <c r="H1196" s="6"/>
      <c r="I1196" s="16" t="s">
        <v>83</v>
      </c>
    </row>
    <row r="1197" spans="1:9" x14ac:dyDescent="0.25">
      <c r="A1197" s="6" t="s">
        <v>33</v>
      </c>
      <c r="B1197" s="5">
        <v>45965</v>
      </c>
      <c r="C1197" s="6" t="s">
        <v>1658</v>
      </c>
      <c r="D1197" s="6" t="s">
        <v>1303</v>
      </c>
      <c r="E1197" s="6" t="s">
        <v>16</v>
      </c>
      <c r="F1197" s="45">
        <v>2632.3534482758623</v>
      </c>
      <c r="G1197" s="6" t="s">
        <v>47</v>
      </c>
      <c r="H1197" s="6"/>
      <c r="I1197" s="16" t="s">
        <v>83</v>
      </c>
    </row>
    <row r="1198" spans="1:9" x14ac:dyDescent="0.25">
      <c r="A1198" s="6" t="s">
        <v>33</v>
      </c>
      <c r="B1198" s="5">
        <v>45965</v>
      </c>
      <c r="C1198" s="6" t="s">
        <v>1659</v>
      </c>
      <c r="D1198" s="6" t="s">
        <v>1303</v>
      </c>
      <c r="E1198" s="6" t="s">
        <v>16</v>
      </c>
      <c r="F1198" s="45">
        <v>1653.7586206896551</v>
      </c>
      <c r="G1198" s="6" t="s">
        <v>47</v>
      </c>
      <c r="H1198" s="6"/>
      <c r="I1198" s="16" t="s">
        <v>83</v>
      </c>
    </row>
    <row r="1199" spans="1:9" x14ac:dyDescent="0.25">
      <c r="A1199" s="6" t="s">
        <v>33</v>
      </c>
      <c r="B1199" s="5">
        <v>45965</v>
      </c>
      <c r="C1199" s="6" t="s">
        <v>1660</v>
      </c>
      <c r="D1199" s="6" t="s">
        <v>1661</v>
      </c>
      <c r="E1199" s="6" t="s">
        <v>11</v>
      </c>
      <c r="F1199" s="45">
        <v>689.66379310344837</v>
      </c>
      <c r="G1199" s="6" t="s">
        <v>15</v>
      </c>
      <c r="H1199" s="6"/>
      <c r="I1199" s="16" t="s">
        <v>83</v>
      </c>
    </row>
    <row r="1200" spans="1:9" x14ac:dyDescent="0.25">
      <c r="A1200" s="6" t="s">
        <v>33</v>
      </c>
      <c r="B1200" s="5">
        <v>45965</v>
      </c>
      <c r="C1200" s="6" t="s">
        <v>1662</v>
      </c>
      <c r="D1200" s="6" t="s">
        <v>14</v>
      </c>
      <c r="E1200" s="6" t="s">
        <v>18</v>
      </c>
      <c r="F1200" s="45">
        <v>448.27586206896552</v>
      </c>
      <c r="G1200" s="6" t="s">
        <v>8</v>
      </c>
      <c r="H1200" s="6"/>
      <c r="I1200" s="16" t="s">
        <v>83</v>
      </c>
    </row>
    <row r="1201" spans="1:10" x14ac:dyDescent="0.25">
      <c r="A1201" s="6" t="s">
        <v>33</v>
      </c>
      <c r="B1201" s="5">
        <v>45965</v>
      </c>
      <c r="C1201" s="6" t="s">
        <v>1663</v>
      </c>
      <c r="D1201" s="6" t="s">
        <v>14</v>
      </c>
      <c r="E1201" s="6" t="s">
        <v>10</v>
      </c>
      <c r="F1201" s="45">
        <v>327.58620689655174</v>
      </c>
      <c r="G1201" s="6" t="s">
        <v>8</v>
      </c>
      <c r="H1201" s="6"/>
      <c r="I1201" s="16" t="s">
        <v>83</v>
      </c>
    </row>
    <row r="1202" spans="1:10" x14ac:dyDescent="0.25">
      <c r="A1202" s="6" t="s">
        <v>33</v>
      </c>
      <c r="B1202" s="5">
        <v>45967</v>
      </c>
      <c r="C1202" s="6" t="s">
        <v>1664</v>
      </c>
      <c r="D1202" s="6" t="s">
        <v>14</v>
      </c>
      <c r="E1202" s="6" t="s">
        <v>16</v>
      </c>
      <c r="F1202" s="45">
        <v>669</v>
      </c>
      <c r="G1202" s="6" t="s">
        <v>15</v>
      </c>
      <c r="H1202" s="6"/>
      <c r="I1202" s="16" t="s">
        <v>83</v>
      </c>
    </row>
    <row r="1203" spans="1:10" x14ac:dyDescent="0.25">
      <c r="A1203" s="6" t="s">
        <v>33</v>
      </c>
      <c r="B1203" s="5">
        <v>45967</v>
      </c>
      <c r="C1203" s="6" t="s">
        <v>1665</v>
      </c>
      <c r="D1203" s="6" t="s">
        <v>14</v>
      </c>
      <c r="E1203" s="6" t="s">
        <v>10</v>
      </c>
      <c r="F1203" s="45">
        <v>301.72413793103448</v>
      </c>
      <c r="G1203" s="6" t="s">
        <v>15</v>
      </c>
      <c r="H1203" s="6"/>
      <c r="I1203" s="16" t="s">
        <v>83</v>
      </c>
    </row>
    <row r="1204" spans="1:10" x14ac:dyDescent="0.25">
      <c r="A1204" s="6" t="s">
        <v>33</v>
      </c>
      <c r="B1204" s="5">
        <v>45967</v>
      </c>
      <c r="C1204" s="6" t="s">
        <v>1666</v>
      </c>
      <c r="D1204" s="6" t="s">
        <v>1521</v>
      </c>
      <c r="E1204" s="6" t="s">
        <v>10</v>
      </c>
      <c r="F1204" s="45">
        <v>1380</v>
      </c>
      <c r="G1204" s="6" t="s">
        <v>13</v>
      </c>
      <c r="H1204" s="6"/>
      <c r="I1204" s="16" t="s">
        <v>83</v>
      </c>
    </row>
    <row r="1205" spans="1:10" x14ac:dyDescent="0.25">
      <c r="A1205" s="6" t="s">
        <v>33</v>
      </c>
      <c r="B1205" s="5">
        <v>45967</v>
      </c>
      <c r="C1205" s="6" t="s">
        <v>1667</v>
      </c>
      <c r="D1205" s="6" t="s">
        <v>1521</v>
      </c>
      <c r="E1205" s="6" t="s">
        <v>10</v>
      </c>
      <c r="F1205" s="45">
        <v>1020.0000000000001</v>
      </c>
      <c r="G1205" s="6" t="s">
        <v>13</v>
      </c>
      <c r="H1205" s="6"/>
      <c r="I1205" s="16" t="s">
        <v>83</v>
      </c>
    </row>
    <row r="1206" spans="1:10" x14ac:dyDescent="0.25">
      <c r="A1206" s="6" t="s">
        <v>33</v>
      </c>
      <c r="B1206" s="5">
        <v>45967</v>
      </c>
      <c r="C1206" s="6" t="s">
        <v>1668</v>
      </c>
      <c r="D1206" s="6" t="s">
        <v>1521</v>
      </c>
      <c r="E1206" s="6" t="s">
        <v>10</v>
      </c>
      <c r="F1206" s="45">
        <v>1020.0000000000001</v>
      </c>
      <c r="G1206" s="6" t="s">
        <v>13</v>
      </c>
      <c r="H1206" s="6"/>
      <c r="I1206" s="16" t="s">
        <v>83</v>
      </c>
    </row>
    <row r="1207" spans="1:10" x14ac:dyDescent="0.25">
      <c r="A1207" s="6" t="s">
        <v>33</v>
      </c>
      <c r="B1207" s="5">
        <v>45968</v>
      </c>
      <c r="C1207" s="6" t="s">
        <v>1669</v>
      </c>
      <c r="D1207" s="7" t="s">
        <v>1521</v>
      </c>
      <c r="E1207" s="6" t="s">
        <v>23</v>
      </c>
      <c r="F1207" s="45">
        <v>22176</v>
      </c>
      <c r="G1207" s="7" t="s">
        <v>13</v>
      </c>
      <c r="H1207" s="6" t="s">
        <v>1670</v>
      </c>
      <c r="I1207" s="16" t="s">
        <v>83</v>
      </c>
    </row>
    <row r="1208" spans="1:10" x14ac:dyDescent="0.25">
      <c r="A1208" s="6" t="s">
        <v>33</v>
      </c>
      <c r="B1208" s="5">
        <v>45969</v>
      </c>
      <c r="C1208" s="6" t="s">
        <v>1671</v>
      </c>
      <c r="D1208" s="6" t="s">
        <v>14</v>
      </c>
      <c r="E1208" s="6" t="s">
        <v>11</v>
      </c>
      <c r="F1208" s="45">
        <v>258.62068965517244</v>
      </c>
      <c r="G1208" s="6" t="s">
        <v>15</v>
      </c>
      <c r="H1208" s="6"/>
      <c r="I1208" s="16" t="s">
        <v>83</v>
      </c>
    </row>
    <row r="1209" spans="1:10" x14ac:dyDescent="0.25">
      <c r="A1209" s="6" t="s">
        <v>33</v>
      </c>
      <c r="B1209" s="5">
        <v>45969</v>
      </c>
      <c r="C1209" s="6" t="s">
        <v>1672</v>
      </c>
      <c r="D1209" s="6" t="s">
        <v>1673</v>
      </c>
      <c r="E1209" s="6" t="s">
        <v>10</v>
      </c>
      <c r="F1209" s="45">
        <v>1465.5172413793105</v>
      </c>
      <c r="G1209" s="6" t="s">
        <v>15</v>
      </c>
      <c r="H1209" s="6"/>
      <c r="I1209" s="16" t="s">
        <v>83</v>
      </c>
    </row>
    <row r="1210" spans="1:10" x14ac:dyDescent="0.25">
      <c r="A1210" s="6" t="s">
        <v>33</v>
      </c>
      <c r="B1210" s="5">
        <v>45971</v>
      </c>
      <c r="C1210" s="6" t="s">
        <v>1674</v>
      </c>
      <c r="D1210" s="6" t="s">
        <v>14</v>
      </c>
      <c r="E1210" s="6" t="s">
        <v>16</v>
      </c>
      <c r="F1210" s="45">
        <v>1077</v>
      </c>
      <c r="G1210" s="6" t="s">
        <v>15</v>
      </c>
      <c r="H1210" s="6"/>
      <c r="I1210" s="16" t="s">
        <v>83</v>
      </c>
    </row>
    <row r="1211" spans="1:10" x14ac:dyDescent="0.25">
      <c r="A1211" s="6" t="s">
        <v>33</v>
      </c>
      <c r="B1211" s="5">
        <v>45971</v>
      </c>
      <c r="C1211" s="6" t="s">
        <v>1675</v>
      </c>
      <c r="D1211" s="6" t="s">
        <v>14</v>
      </c>
      <c r="E1211" s="6" t="s">
        <v>16</v>
      </c>
      <c r="F1211" s="45">
        <v>2797.5</v>
      </c>
      <c r="G1211" s="6" t="s">
        <v>15</v>
      </c>
      <c r="H1211" s="6"/>
      <c r="I1211" s="16" t="s">
        <v>83</v>
      </c>
    </row>
    <row r="1212" spans="1:10" x14ac:dyDescent="0.25">
      <c r="A1212" s="6" t="s">
        <v>33</v>
      </c>
      <c r="B1212" s="5">
        <v>45972</v>
      </c>
      <c r="C1212" s="6" t="s">
        <v>1676</v>
      </c>
      <c r="D1212" s="6" t="s">
        <v>1677</v>
      </c>
      <c r="E1212" s="6"/>
      <c r="F1212" s="45">
        <v>0</v>
      </c>
      <c r="G1212" s="6"/>
      <c r="H1212" s="6"/>
      <c r="I1212" s="16" t="s">
        <v>83</v>
      </c>
    </row>
    <row r="1213" spans="1:10" x14ac:dyDescent="0.25">
      <c r="A1213" s="20" t="s">
        <v>33</v>
      </c>
      <c r="B1213" s="19">
        <v>45972</v>
      </c>
      <c r="C1213" s="20" t="s">
        <v>1678</v>
      </c>
      <c r="D1213" s="20" t="s">
        <v>22</v>
      </c>
      <c r="E1213" s="20" t="s">
        <v>18</v>
      </c>
      <c r="F1213" s="47">
        <v>31675.000000000004</v>
      </c>
      <c r="G1213" s="20" t="s">
        <v>34</v>
      </c>
      <c r="H1213" s="20"/>
      <c r="I1213" s="66" t="s">
        <v>83</v>
      </c>
      <c r="J1213" s="52" t="s">
        <v>2033</v>
      </c>
    </row>
    <row r="1214" spans="1:10" x14ac:dyDescent="0.25">
      <c r="A1214" s="6" t="s">
        <v>33</v>
      </c>
      <c r="B1214" s="5">
        <v>45972</v>
      </c>
      <c r="C1214" s="6" t="s">
        <v>1679</v>
      </c>
      <c r="D1214" s="6" t="s">
        <v>22</v>
      </c>
      <c r="E1214" s="6" t="s">
        <v>23</v>
      </c>
      <c r="F1214" s="45">
        <v>304000</v>
      </c>
      <c r="G1214" s="6" t="s">
        <v>47</v>
      </c>
      <c r="H1214" s="6" t="s">
        <v>1680</v>
      </c>
      <c r="I1214" s="16" t="s">
        <v>83</v>
      </c>
    </row>
    <row r="1215" spans="1:10" x14ac:dyDescent="0.25">
      <c r="A1215" s="6" t="s">
        <v>33</v>
      </c>
      <c r="B1215" s="5">
        <v>45972</v>
      </c>
      <c r="C1215" s="6" t="s">
        <v>1681</v>
      </c>
      <c r="D1215" s="6" t="s">
        <v>22</v>
      </c>
      <c r="E1215" s="6" t="s">
        <v>23</v>
      </c>
      <c r="F1215" s="45">
        <v>304000</v>
      </c>
      <c r="G1215" s="6" t="s">
        <v>47</v>
      </c>
      <c r="H1215" s="6" t="s">
        <v>1680</v>
      </c>
      <c r="I1215" s="16" t="s">
        <v>83</v>
      </c>
    </row>
    <row r="1216" spans="1:10" x14ac:dyDescent="0.25">
      <c r="A1216" s="6" t="s">
        <v>33</v>
      </c>
      <c r="B1216" s="5">
        <v>45973</v>
      </c>
      <c r="C1216" s="6" t="s">
        <v>1682</v>
      </c>
      <c r="D1216" s="6" t="s">
        <v>1683</v>
      </c>
      <c r="E1216" s="6" t="s">
        <v>16</v>
      </c>
      <c r="F1216" s="45">
        <v>1942</v>
      </c>
      <c r="G1216" s="6" t="s">
        <v>15</v>
      </c>
      <c r="H1216" s="6"/>
      <c r="I1216" s="16" t="s">
        <v>83</v>
      </c>
    </row>
    <row r="1217" spans="1:9" x14ac:dyDescent="0.25">
      <c r="A1217" s="6" t="s">
        <v>33</v>
      </c>
      <c r="B1217" s="5">
        <v>45974</v>
      </c>
      <c r="C1217" s="6" t="s">
        <v>1684</v>
      </c>
      <c r="D1217" s="6" t="s">
        <v>1521</v>
      </c>
      <c r="E1217" s="6" t="s">
        <v>23</v>
      </c>
      <c r="F1217" s="45">
        <v>7392</v>
      </c>
      <c r="G1217" s="6" t="s">
        <v>13</v>
      </c>
      <c r="H1217" s="6" t="s">
        <v>36</v>
      </c>
      <c r="I1217" s="16" t="s">
        <v>83</v>
      </c>
    </row>
    <row r="1218" spans="1:9" x14ac:dyDescent="0.25">
      <c r="A1218" s="6" t="s">
        <v>33</v>
      </c>
      <c r="B1218" s="5">
        <v>45974</v>
      </c>
      <c r="C1218" s="6" t="s">
        <v>1685</v>
      </c>
      <c r="D1218" s="6" t="s">
        <v>1521</v>
      </c>
      <c r="E1218" s="6" t="s">
        <v>10</v>
      </c>
      <c r="F1218" s="45">
        <v>2790.0000000000005</v>
      </c>
      <c r="G1218" s="6" t="s">
        <v>13</v>
      </c>
      <c r="H1218" s="6"/>
      <c r="I1218" s="16" t="s">
        <v>83</v>
      </c>
    </row>
    <row r="1219" spans="1:9" x14ac:dyDescent="0.25">
      <c r="A1219" s="6" t="s">
        <v>33</v>
      </c>
      <c r="B1219" s="5">
        <v>45974</v>
      </c>
      <c r="C1219" s="6" t="s">
        <v>1686</v>
      </c>
      <c r="D1219" s="6" t="s">
        <v>1174</v>
      </c>
      <c r="E1219" s="6" t="s">
        <v>20</v>
      </c>
      <c r="F1219" s="45">
        <v>8926.7241379310344</v>
      </c>
      <c r="G1219" s="6" t="s">
        <v>968</v>
      </c>
      <c r="H1219" s="6" t="s">
        <v>58</v>
      </c>
      <c r="I1219" s="16" t="s">
        <v>83</v>
      </c>
    </row>
    <row r="1220" spans="1:9" x14ac:dyDescent="0.25">
      <c r="A1220" s="6" t="s">
        <v>33</v>
      </c>
      <c r="B1220" s="5">
        <v>45974</v>
      </c>
      <c r="C1220" s="6" t="s">
        <v>1687</v>
      </c>
      <c r="D1220" s="6" t="s">
        <v>1174</v>
      </c>
      <c r="E1220" s="6" t="s">
        <v>20</v>
      </c>
      <c r="F1220" s="45">
        <v>8926.7241379310344</v>
      </c>
      <c r="G1220" s="6" t="s">
        <v>968</v>
      </c>
      <c r="H1220" s="6" t="s">
        <v>58</v>
      </c>
      <c r="I1220" s="16" t="s">
        <v>83</v>
      </c>
    </row>
    <row r="1221" spans="1:9" x14ac:dyDescent="0.25">
      <c r="A1221" s="6" t="s">
        <v>33</v>
      </c>
      <c r="B1221" s="5">
        <v>45974</v>
      </c>
      <c r="C1221" s="6" t="s">
        <v>1688</v>
      </c>
      <c r="D1221" s="6" t="s">
        <v>14</v>
      </c>
      <c r="E1221" s="6" t="s">
        <v>10</v>
      </c>
      <c r="F1221" s="45">
        <v>172.5</v>
      </c>
      <c r="G1221" s="6" t="s">
        <v>8</v>
      </c>
      <c r="H1221" s="6"/>
      <c r="I1221" s="16" t="s">
        <v>83</v>
      </c>
    </row>
    <row r="1222" spans="1:9" x14ac:dyDescent="0.25">
      <c r="A1222" s="6" t="s">
        <v>33</v>
      </c>
      <c r="B1222" s="5">
        <v>45974</v>
      </c>
      <c r="C1222" s="6" t="s">
        <v>1689</v>
      </c>
      <c r="D1222" s="6" t="s">
        <v>1661</v>
      </c>
      <c r="E1222" s="6" t="s">
        <v>11</v>
      </c>
      <c r="F1222" s="45">
        <v>344.82758620689657</v>
      </c>
      <c r="G1222" s="6" t="s">
        <v>15</v>
      </c>
      <c r="H1222" s="6"/>
      <c r="I1222" s="16" t="s">
        <v>83</v>
      </c>
    </row>
    <row r="1223" spans="1:9" x14ac:dyDescent="0.25">
      <c r="A1223" s="6" t="s">
        <v>33</v>
      </c>
      <c r="B1223" s="5">
        <v>45974</v>
      </c>
      <c r="C1223" s="6" t="s">
        <v>1690</v>
      </c>
      <c r="D1223" s="6" t="s">
        <v>25</v>
      </c>
      <c r="E1223" s="6" t="s">
        <v>18</v>
      </c>
      <c r="F1223" s="45">
        <v>388</v>
      </c>
      <c r="G1223" s="6" t="s">
        <v>15</v>
      </c>
      <c r="H1223" s="6"/>
      <c r="I1223" s="16" t="s">
        <v>83</v>
      </c>
    </row>
    <row r="1224" spans="1:9" x14ac:dyDescent="0.25">
      <c r="A1224" s="6" t="s">
        <v>33</v>
      </c>
      <c r="B1224" s="5">
        <v>45974</v>
      </c>
      <c r="C1224" s="6" t="s">
        <v>1691</v>
      </c>
      <c r="D1224" s="6" t="s">
        <v>1521</v>
      </c>
      <c r="E1224" s="6" t="s">
        <v>10</v>
      </c>
      <c r="F1224" s="45">
        <v>1490.0000000000002</v>
      </c>
      <c r="G1224" s="6" t="s">
        <v>13</v>
      </c>
      <c r="H1224" s="6"/>
      <c r="I1224" s="16" t="s">
        <v>83</v>
      </c>
    </row>
    <row r="1225" spans="1:9" x14ac:dyDescent="0.25">
      <c r="A1225" s="6" t="s">
        <v>33</v>
      </c>
      <c r="B1225" s="5">
        <v>45979</v>
      </c>
      <c r="C1225" s="6" t="s">
        <v>1692</v>
      </c>
      <c r="D1225" s="6" t="s">
        <v>30</v>
      </c>
      <c r="E1225" s="6"/>
      <c r="F1225" s="45">
        <v>0</v>
      </c>
      <c r="G1225" s="6"/>
      <c r="H1225" s="6"/>
      <c r="I1225" s="16" t="s">
        <v>83</v>
      </c>
    </row>
    <row r="1226" spans="1:9" x14ac:dyDescent="0.25">
      <c r="A1226" s="6" t="s">
        <v>33</v>
      </c>
      <c r="B1226" s="5">
        <v>45979</v>
      </c>
      <c r="C1226" s="6" t="s">
        <v>1693</v>
      </c>
      <c r="D1226" s="6" t="s">
        <v>1239</v>
      </c>
      <c r="E1226" s="6" t="s">
        <v>18</v>
      </c>
      <c r="F1226" s="45">
        <v>184.50000000000003</v>
      </c>
      <c r="G1226" s="6" t="s">
        <v>968</v>
      </c>
      <c r="H1226" s="6"/>
      <c r="I1226" s="16" t="s">
        <v>83</v>
      </c>
    </row>
    <row r="1227" spans="1:9" x14ac:dyDescent="0.25">
      <c r="A1227" s="6" t="s">
        <v>33</v>
      </c>
      <c r="B1227" s="5">
        <v>45979</v>
      </c>
      <c r="C1227" s="6" t="s">
        <v>1694</v>
      </c>
      <c r="D1227" s="6" t="s">
        <v>1595</v>
      </c>
      <c r="E1227" s="6" t="s">
        <v>18</v>
      </c>
      <c r="F1227" s="45">
        <v>530</v>
      </c>
      <c r="G1227" s="6" t="s">
        <v>968</v>
      </c>
      <c r="H1227" s="6"/>
      <c r="I1227" s="16" t="s">
        <v>83</v>
      </c>
    </row>
    <row r="1228" spans="1:9" x14ac:dyDescent="0.25">
      <c r="A1228" s="6" t="s">
        <v>33</v>
      </c>
      <c r="B1228" s="5">
        <v>45979</v>
      </c>
      <c r="C1228" s="6" t="s">
        <v>1695</v>
      </c>
      <c r="D1228" s="6" t="s">
        <v>1696</v>
      </c>
      <c r="E1228" s="6" t="s">
        <v>18</v>
      </c>
      <c r="F1228" s="45">
        <v>350</v>
      </c>
      <c r="G1228" s="7" t="s">
        <v>968</v>
      </c>
      <c r="H1228" s="6"/>
      <c r="I1228" s="16" t="s">
        <v>83</v>
      </c>
    </row>
    <row r="1229" spans="1:9" x14ac:dyDescent="0.25">
      <c r="A1229" s="6" t="s">
        <v>33</v>
      </c>
      <c r="B1229" s="5">
        <v>45980</v>
      </c>
      <c r="C1229" s="6" t="s">
        <v>1697</v>
      </c>
      <c r="D1229" s="6" t="s">
        <v>14</v>
      </c>
      <c r="E1229" s="6" t="s">
        <v>16</v>
      </c>
      <c r="F1229" s="45">
        <v>1724</v>
      </c>
      <c r="G1229" s="6" t="s">
        <v>15</v>
      </c>
      <c r="H1229" s="6"/>
      <c r="I1229" s="16" t="s">
        <v>83</v>
      </c>
    </row>
    <row r="1230" spans="1:9" x14ac:dyDescent="0.25">
      <c r="A1230" s="6" t="s">
        <v>33</v>
      </c>
      <c r="B1230" s="5">
        <v>45982</v>
      </c>
      <c r="C1230" s="6" t="s">
        <v>1698</v>
      </c>
      <c r="D1230" s="6" t="s">
        <v>1699</v>
      </c>
      <c r="E1230" s="6"/>
      <c r="F1230" s="45">
        <v>0</v>
      </c>
      <c r="G1230" s="6"/>
      <c r="H1230" s="6"/>
      <c r="I1230" s="16" t="s">
        <v>83</v>
      </c>
    </row>
    <row r="1231" spans="1:9" x14ac:dyDescent="0.25">
      <c r="A1231" s="6" t="s">
        <v>33</v>
      </c>
      <c r="B1231" s="5">
        <v>45982</v>
      </c>
      <c r="C1231" s="6" t="s">
        <v>1700</v>
      </c>
      <c r="D1231" s="6" t="s">
        <v>14</v>
      </c>
      <c r="E1231" s="6" t="s">
        <v>10</v>
      </c>
      <c r="F1231" s="45">
        <v>34.482758620689658</v>
      </c>
      <c r="G1231" s="6" t="s">
        <v>8</v>
      </c>
      <c r="H1231" s="6"/>
      <c r="I1231" s="16" t="s">
        <v>83</v>
      </c>
    </row>
    <row r="1232" spans="1:9" x14ac:dyDescent="0.25">
      <c r="A1232" s="6" t="s">
        <v>33</v>
      </c>
      <c r="B1232" s="5">
        <v>45982</v>
      </c>
      <c r="C1232" s="6" t="s">
        <v>1701</v>
      </c>
      <c r="D1232" s="6" t="s">
        <v>14</v>
      </c>
      <c r="E1232" s="6" t="s">
        <v>10</v>
      </c>
      <c r="F1232" s="45">
        <v>129.31034482758622</v>
      </c>
      <c r="G1232" s="6" t="s">
        <v>8</v>
      </c>
      <c r="H1232" s="6"/>
      <c r="I1232" s="16" t="s">
        <v>83</v>
      </c>
    </row>
    <row r="1233" spans="1:9" x14ac:dyDescent="0.25">
      <c r="A1233" s="6" t="s">
        <v>33</v>
      </c>
      <c r="B1233" s="5">
        <v>45982</v>
      </c>
      <c r="C1233" s="6" t="s">
        <v>1702</v>
      </c>
      <c r="D1233" s="6" t="s">
        <v>1703</v>
      </c>
      <c r="E1233" s="6"/>
      <c r="F1233" s="45">
        <v>0</v>
      </c>
      <c r="G1233" s="6"/>
      <c r="H1233" s="6"/>
      <c r="I1233" s="16" t="s">
        <v>83</v>
      </c>
    </row>
    <row r="1234" spans="1:9" x14ac:dyDescent="0.25">
      <c r="A1234" s="6" t="s">
        <v>33</v>
      </c>
      <c r="B1234" s="5">
        <v>45982</v>
      </c>
      <c r="C1234" s="6" t="s">
        <v>1704</v>
      </c>
      <c r="D1234" s="6" t="s">
        <v>1705</v>
      </c>
      <c r="E1234" s="6" t="s">
        <v>10</v>
      </c>
      <c r="F1234" s="45">
        <v>301.72413793103448</v>
      </c>
      <c r="G1234" s="6" t="s">
        <v>8</v>
      </c>
      <c r="H1234" s="6"/>
      <c r="I1234" s="16" t="s">
        <v>83</v>
      </c>
    </row>
    <row r="1235" spans="1:9" x14ac:dyDescent="0.25">
      <c r="A1235" s="6" t="s">
        <v>33</v>
      </c>
      <c r="B1235" s="5">
        <v>45982</v>
      </c>
      <c r="C1235" s="6" t="s">
        <v>1706</v>
      </c>
      <c r="D1235" s="6" t="s">
        <v>14</v>
      </c>
      <c r="E1235" s="6" t="s">
        <v>10</v>
      </c>
      <c r="F1235" s="45">
        <v>43.103448275862071</v>
      </c>
      <c r="G1235" s="6" t="s">
        <v>8</v>
      </c>
      <c r="H1235" s="6"/>
      <c r="I1235" s="16" t="s">
        <v>83</v>
      </c>
    </row>
    <row r="1236" spans="1:9" x14ac:dyDescent="0.25">
      <c r="A1236" s="6" t="s">
        <v>33</v>
      </c>
      <c r="B1236" s="5">
        <v>45982</v>
      </c>
      <c r="C1236" s="6" t="s">
        <v>1707</v>
      </c>
      <c r="D1236" s="6" t="s">
        <v>14</v>
      </c>
      <c r="E1236" s="6" t="s">
        <v>16</v>
      </c>
      <c r="F1236" s="45">
        <v>1280.1034482758623</v>
      </c>
      <c r="G1236" s="6" t="s">
        <v>15</v>
      </c>
      <c r="H1236" s="6"/>
      <c r="I1236" s="16" t="s">
        <v>83</v>
      </c>
    </row>
    <row r="1237" spans="1:9" x14ac:dyDescent="0.25">
      <c r="A1237" s="6" t="s">
        <v>33</v>
      </c>
      <c r="B1237" s="5">
        <v>45982</v>
      </c>
      <c r="C1237" s="6" t="s">
        <v>1708</v>
      </c>
      <c r="D1237" s="6" t="s">
        <v>14</v>
      </c>
      <c r="E1237" s="6" t="s">
        <v>18</v>
      </c>
      <c r="F1237" s="45">
        <v>172.41379310344828</v>
      </c>
      <c r="G1237" s="6" t="s">
        <v>8</v>
      </c>
      <c r="H1237" s="6"/>
      <c r="I1237" s="16" t="s">
        <v>83</v>
      </c>
    </row>
    <row r="1238" spans="1:9" x14ac:dyDescent="0.25">
      <c r="A1238" s="6" t="s">
        <v>33</v>
      </c>
      <c r="B1238" s="5">
        <v>45982</v>
      </c>
      <c r="C1238" s="6" t="s">
        <v>1709</v>
      </c>
      <c r="D1238" s="6" t="s">
        <v>941</v>
      </c>
      <c r="E1238" s="6" t="s">
        <v>16</v>
      </c>
      <c r="F1238" s="45">
        <v>5026</v>
      </c>
      <c r="G1238" s="6" t="s">
        <v>968</v>
      </c>
      <c r="H1238" s="6"/>
      <c r="I1238" s="16" t="s">
        <v>83</v>
      </c>
    </row>
    <row r="1239" spans="1:9" x14ac:dyDescent="0.25">
      <c r="A1239" s="6" t="s">
        <v>33</v>
      </c>
      <c r="B1239" s="5">
        <v>45982</v>
      </c>
      <c r="C1239" s="6" t="s">
        <v>1710</v>
      </c>
      <c r="D1239" s="6" t="s">
        <v>1711</v>
      </c>
      <c r="E1239" s="6"/>
      <c r="F1239" s="45">
        <v>0</v>
      </c>
      <c r="G1239" s="6"/>
      <c r="H1239" s="6"/>
      <c r="I1239" s="16" t="s">
        <v>83</v>
      </c>
    </row>
    <row r="1240" spans="1:9" x14ac:dyDescent="0.25">
      <c r="A1240" s="6" t="s">
        <v>33</v>
      </c>
      <c r="B1240" s="5">
        <v>45985</v>
      </c>
      <c r="C1240" s="6" t="s">
        <v>1712</v>
      </c>
      <c r="D1240" s="6" t="s">
        <v>32</v>
      </c>
      <c r="E1240" s="6" t="s">
        <v>16</v>
      </c>
      <c r="F1240" s="45">
        <v>1580</v>
      </c>
      <c r="G1240" s="6" t="s">
        <v>15</v>
      </c>
      <c r="H1240" s="6"/>
      <c r="I1240" s="16" t="s">
        <v>83</v>
      </c>
    </row>
    <row r="1241" spans="1:9" x14ac:dyDescent="0.25">
      <c r="A1241" s="6" t="s">
        <v>33</v>
      </c>
      <c r="B1241" s="5">
        <v>45985</v>
      </c>
      <c r="C1241" s="6" t="s">
        <v>1713</v>
      </c>
      <c r="D1241" s="6" t="s">
        <v>1174</v>
      </c>
      <c r="E1241" s="6" t="s">
        <v>20</v>
      </c>
      <c r="F1241" s="45">
        <v>17853.439655172417</v>
      </c>
      <c r="G1241" s="6" t="s">
        <v>968</v>
      </c>
      <c r="H1241" s="6" t="s">
        <v>1714</v>
      </c>
      <c r="I1241" s="16" t="s">
        <v>83</v>
      </c>
    </row>
    <row r="1242" spans="1:9" x14ac:dyDescent="0.25">
      <c r="A1242" s="6" t="s">
        <v>33</v>
      </c>
      <c r="B1242" s="5">
        <v>45985</v>
      </c>
      <c r="C1242" s="6" t="s">
        <v>1715</v>
      </c>
      <c r="D1242" s="6" t="s">
        <v>14</v>
      </c>
      <c r="E1242" s="6" t="s">
        <v>18</v>
      </c>
      <c r="F1242" s="45">
        <v>215.51724137931035</v>
      </c>
      <c r="G1242" s="6" t="s">
        <v>15</v>
      </c>
      <c r="H1242" s="6"/>
      <c r="I1242" s="16" t="s">
        <v>83</v>
      </c>
    </row>
    <row r="1243" spans="1:9" x14ac:dyDescent="0.25">
      <c r="A1243" s="6" t="s">
        <v>33</v>
      </c>
      <c r="B1243" s="5">
        <v>45985</v>
      </c>
      <c r="C1243" s="6" t="s">
        <v>1716</v>
      </c>
      <c r="D1243" s="6" t="s">
        <v>1717</v>
      </c>
      <c r="E1243" s="6"/>
      <c r="F1243" s="45">
        <v>0</v>
      </c>
      <c r="G1243" s="6"/>
      <c r="H1243" s="6"/>
      <c r="I1243" s="16" t="s">
        <v>83</v>
      </c>
    </row>
    <row r="1244" spans="1:9" x14ac:dyDescent="0.25">
      <c r="A1244" s="6" t="s">
        <v>33</v>
      </c>
      <c r="B1244" s="5">
        <v>45985</v>
      </c>
      <c r="C1244" s="6" t="s">
        <v>1718</v>
      </c>
      <c r="D1244" s="6" t="s">
        <v>14</v>
      </c>
      <c r="E1244" s="6" t="s">
        <v>11</v>
      </c>
      <c r="F1244" s="45">
        <v>258.62068965517244</v>
      </c>
      <c r="G1244" s="6" t="s">
        <v>15</v>
      </c>
      <c r="H1244" s="6"/>
      <c r="I1244" s="16" t="s">
        <v>83</v>
      </c>
    </row>
    <row r="1245" spans="1:9" x14ac:dyDescent="0.25">
      <c r="A1245" s="6" t="s">
        <v>33</v>
      </c>
      <c r="B1245" s="5">
        <v>45986</v>
      </c>
      <c r="C1245" s="6" t="s">
        <v>1719</v>
      </c>
      <c r="D1245" s="6" t="s">
        <v>1699</v>
      </c>
      <c r="E1245" s="6"/>
      <c r="F1245" s="45">
        <v>0</v>
      </c>
      <c r="G1245" s="6"/>
      <c r="H1245" s="6"/>
      <c r="I1245" s="16" t="s">
        <v>83</v>
      </c>
    </row>
    <row r="1246" spans="1:9" x14ac:dyDescent="0.25">
      <c r="A1246" s="6" t="s">
        <v>33</v>
      </c>
      <c r="B1246" s="5">
        <v>45986</v>
      </c>
      <c r="C1246" s="6" t="s">
        <v>1720</v>
      </c>
      <c r="D1246" s="6" t="s">
        <v>1521</v>
      </c>
      <c r="E1246" s="6" t="s">
        <v>23</v>
      </c>
      <c r="F1246" s="45">
        <v>13816</v>
      </c>
      <c r="G1246" s="6" t="s">
        <v>13</v>
      </c>
      <c r="H1246" s="6" t="s">
        <v>1143</v>
      </c>
      <c r="I1246" s="16" t="s">
        <v>83</v>
      </c>
    </row>
    <row r="1247" spans="1:9" x14ac:dyDescent="0.25">
      <c r="A1247" s="6" t="s">
        <v>33</v>
      </c>
      <c r="B1247" s="5">
        <v>45986</v>
      </c>
      <c r="C1247" s="6" t="s">
        <v>1721</v>
      </c>
      <c r="D1247" s="6" t="s">
        <v>1722</v>
      </c>
      <c r="E1247" s="6" t="s">
        <v>1723</v>
      </c>
      <c r="F1247" s="45">
        <v>7748.2758620689665</v>
      </c>
      <c r="G1247" s="6" t="s">
        <v>968</v>
      </c>
      <c r="H1247" s="6" t="s">
        <v>1724</v>
      </c>
      <c r="I1247" s="16" t="s">
        <v>83</v>
      </c>
    </row>
    <row r="1248" spans="1:9" x14ac:dyDescent="0.25">
      <c r="A1248" s="6" t="s">
        <v>33</v>
      </c>
      <c r="B1248" s="5">
        <v>45986</v>
      </c>
      <c r="C1248" s="6" t="s">
        <v>1725</v>
      </c>
      <c r="D1248" s="6" t="s">
        <v>1726</v>
      </c>
      <c r="E1248" s="6" t="s">
        <v>10</v>
      </c>
      <c r="F1248" s="45">
        <v>5680.0000000000009</v>
      </c>
      <c r="G1248" s="6" t="s">
        <v>968</v>
      </c>
      <c r="H1248" s="6"/>
      <c r="I1248" s="16" t="s">
        <v>83</v>
      </c>
    </row>
    <row r="1249" spans="1:10" x14ac:dyDescent="0.25">
      <c r="A1249" s="6" t="s">
        <v>33</v>
      </c>
      <c r="B1249" s="5">
        <v>45987</v>
      </c>
      <c r="C1249" s="6" t="s">
        <v>1727</v>
      </c>
      <c r="D1249" s="6" t="s">
        <v>53</v>
      </c>
      <c r="E1249" s="6" t="s">
        <v>10</v>
      </c>
      <c r="F1249" s="45">
        <v>1380</v>
      </c>
      <c r="G1249" s="6" t="s">
        <v>13</v>
      </c>
      <c r="H1249" s="6"/>
      <c r="I1249" s="16" t="s">
        <v>83</v>
      </c>
    </row>
    <row r="1250" spans="1:10" x14ac:dyDescent="0.25">
      <c r="A1250" s="6" t="s">
        <v>33</v>
      </c>
      <c r="B1250" s="5">
        <v>45987</v>
      </c>
      <c r="C1250" s="6" t="s">
        <v>1728</v>
      </c>
      <c r="D1250" s="6" t="s">
        <v>1729</v>
      </c>
      <c r="E1250" s="6" t="s">
        <v>10</v>
      </c>
      <c r="F1250" s="45">
        <v>431.0344827586207</v>
      </c>
      <c r="G1250" s="6" t="s">
        <v>8</v>
      </c>
      <c r="H1250" s="6"/>
      <c r="I1250" s="16" t="s">
        <v>83</v>
      </c>
    </row>
    <row r="1251" spans="1:10" x14ac:dyDescent="0.25">
      <c r="A1251" s="6" t="s">
        <v>33</v>
      </c>
      <c r="B1251" s="5">
        <v>45989</v>
      </c>
      <c r="C1251" s="6" t="s">
        <v>1730</v>
      </c>
      <c r="D1251" s="6" t="s">
        <v>1174</v>
      </c>
      <c r="E1251" s="6" t="s">
        <v>20</v>
      </c>
      <c r="F1251" s="45">
        <v>8926.7241379310344</v>
      </c>
      <c r="G1251" s="6" t="s">
        <v>968</v>
      </c>
      <c r="H1251" s="6" t="s">
        <v>58</v>
      </c>
      <c r="I1251" s="16" t="s">
        <v>83</v>
      </c>
    </row>
    <row r="1252" spans="1:10" x14ac:dyDescent="0.25">
      <c r="A1252" s="6" t="s">
        <v>33</v>
      </c>
      <c r="B1252" s="5">
        <v>45989</v>
      </c>
      <c r="C1252" s="6" t="s">
        <v>1731</v>
      </c>
      <c r="D1252" s="6" t="s">
        <v>1239</v>
      </c>
      <c r="E1252" s="6" t="s">
        <v>18</v>
      </c>
      <c r="F1252" s="45">
        <v>6218.0000000000009</v>
      </c>
      <c r="G1252" s="6" t="s">
        <v>968</v>
      </c>
      <c r="H1252" s="6"/>
      <c r="I1252" s="16" t="s">
        <v>83</v>
      </c>
    </row>
    <row r="1253" spans="1:10" x14ac:dyDescent="0.25">
      <c r="A1253" s="6" t="s">
        <v>33</v>
      </c>
      <c r="B1253" s="5">
        <v>45989</v>
      </c>
      <c r="C1253" s="6" t="s">
        <v>1732</v>
      </c>
      <c r="D1253" s="6" t="s">
        <v>1239</v>
      </c>
      <c r="E1253" s="6" t="s">
        <v>10</v>
      </c>
      <c r="F1253" s="45">
        <v>5328</v>
      </c>
      <c r="G1253" s="6" t="s">
        <v>968</v>
      </c>
      <c r="H1253" s="6"/>
      <c r="I1253" s="16" t="s">
        <v>83</v>
      </c>
    </row>
    <row r="1254" spans="1:10" x14ac:dyDescent="0.25">
      <c r="A1254" s="6" t="s">
        <v>33</v>
      </c>
      <c r="B1254" s="5">
        <v>45989</v>
      </c>
      <c r="C1254" s="6" t="s">
        <v>1733</v>
      </c>
      <c r="D1254" s="6" t="s">
        <v>14</v>
      </c>
      <c r="E1254" s="6" t="s">
        <v>16</v>
      </c>
      <c r="F1254" s="45">
        <v>1395.0000000000002</v>
      </c>
      <c r="G1254" s="6" t="s">
        <v>15</v>
      </c>
      <c r="H1254" s="6"/>
      <c r="I1254" s="16" t="s">
        <v>83</v>
      </c>
    </row>
    <row r="1255" spans="1:10" x14ac:dyDescent="0.25">
      <c r="A1255" s="20" t="s">
        <v>1734</v>
      </c>
      <c r="B1255" s="19">
        <v>45989</v>
      </c>
      <c r="C1255" s="20" t="s">
        <v>1735</v>
      </c>
      <c r="D1255" s="20" t="s">
        <v>22</v>
      </c>
      <c r="E1255" s="20" t="s">
        <v>23</v>
      </c>
      <c r="F1255" s="47">
        <v>128448.27586206897</v>
      </c>
      <c r="G1255" s="20" t="s">
        <v>34</v>
      </c>
      <c r="H1255" s="20" t="s">
        <v>1734</v>
      </c>
      <c r="I1255" s="66" t="s">
        <v>83</v>
      </c>
      <c r="J1255" s="53" t="s">
        <v>2034</v>
      </c>
    </row>
    <row r="1256" spans="1:10" x14ac:dyDescent="0.25">
      <c r="A1256" s="6" t="s">
        <v>33</v>
      </c>
      <c r="B1256" s="5">
        <v>45989</v>
      </c>
      <c r="C1256" s="6" t="s">
        <v>1736</v>
      </c>
      <c r="D1256" s="6" t="s">
        <v>1239</v>
      </c>
      <c r="E1256" s="6" t="s">
        <v>18</v>
      </c>
      <c r="F1256" s="45">
        <v>2664</v>
      </c>
      <c r="G1256" s="6" t="s">
        <v>968</v>
      </c>
      <c r="H1256" s="6"/>
      <c r="I1256" s="16" t="s">
        <v>83</v>
      </c>
    </row>
    <row r="1257" spans="1:10" x14ac:dyDescent="0.25">
      <c r="A1257" s="6" t="s">
        <v>33</v>
      </c>
      <c r="B1257" s="5">
        <v>45990</v>
      </c>
      <c r="C1257" s="6" t="s">
        <v>1737</v>
      </c>
      <c r="D1257" s="6" t="s">
        <v>14</v>
      </c>
      <c r="E1257" s="6" t="s">
        <v>9</v>
      </c>
      <c r="F1257" s="45">
        <v>258.62068965517244</v>
      </c>
      <c r="G1257" s="6" t="s">
        <v>8</v>
      </c>
      <c r="H1257" s="6"/>
      <c r="I1257" s="16" t="s">
        <v>83</v>
      </c>
    </row>
    <row r="1258" spans="1:10" x14ac:dyDescent="0.25">
      <c r="A1258" s="6" t="s">
        <v>33</v>
      </c>
      <c r="B1258" s="5">
        <v>45990</v>
      </c>
      <c r="C1258" s="6" t="s">
        <v>1738</v>
      </c>
      <c r="D1258" s="6" t="s">
        <v>941</v>
      </c>
      <c r="E1258" s="6" t="s">
        <v>16</v>
      </c>
      <c r="F1258" s="45">
        <v>9845.0000000000018</v>
      </c>
      <c r="G1258" s="6" t="s">
        <v>968</v>
      </c>
      <c r="H1258" s="6"/>
      <c r="I1258" s="16" t="s">
        <v>83</v>
      </c>
    </row>
    <row r="1259" spans="1:10" x14ac:dyDescent="0.25">
      <c r="A1259" s="6" t="s">
        <v>33</v>
      </c>
      <c r="B1259" s="5">
        <v>45990</v>
      </c>
      <c r="C1259" s="6" t="s">
        <v>1739</v>
      </c>
      <c r="D1259" s="6" t="s">
        <v>14</v>
      </c>
      <c r="E1259" s="6" t="s">
        <v>11</v>
      </c>
      <c r="F1259" s="45">
        <v>258.62068965517244</v>
      </c>
      <c r="G1259" s="6" t="s">
        <v>15</v>
      </c>
      <c r="H1259" s="6"/>
      <c r="I1259" s="16" t="s">
        <v>83</v>
      </c>
    </row>
    <row r="1260" spans="1:10" x14ac:dyDescent="0.25">
      <c r="A1260" s="6" t="s">
        <v>33</v>
      </c>
      <c r="B1260" s="5">
        <v>45990</v>
      </c>
      <c r="C1260" s="6" t="s">
        <v>1740</v>
      </c>
      <c r="D1260" s="6" t="s">
        <v>14</v>
      </c>
      <c r="E1260" s="6" t="s">
        <v>16</v>
      </c>
      <c r="F1260" s="45">
        <v>775.86206896551732</v>
      </c>
      <c r="G1260" s="6" t="s">
        <v>15</v>
      </c>
      <c r="H1260" s="6"/>
      <c r="I1260" s="16" t="s">
        <v>83</v>
      </c>
    </row>
    <row r="1261" spans="1:10" x14ac:dyDescent="0.25">
      <c r="A1261" s="6" t="s">
        <v>33</v>
      </c>
      <c r="B1261" s="5">
        <v>45990</v>
      </c>
      <c r="C1261" s="6" t="s">
        <v>1741</v>
      </c>
      <c r="D1261" s="6" t="s">
        <v>22</v>
      </c>
      <c r="E1261" s="6" t="s">
        <v>18</v>
      </c>
      <c r="F1261" s="45">
        <v>2295</v>
      </c>
      <c r="G1261" s="6" t="s">
        <v>34</v>
      </c>
      <c r="H1261" s="6"/>
      <c r="I1261" s="16" t="s">
        <v>83</v>
      </c>
    </row>
    <row r="1262" spans="1:10" x14ac:dyDescent="0.25">
      <c r="A1262" s="6" t="s">
        <v>33</v>
      </c>
      <c r="B1262" s="5">
        <v>45990</v>
      </c>
      <c r="C1262" s="6" t="s">
        <v>1742</v>
      </c>
      <c r="D1262" s="6" t="s">
        <v>22</v>
      </c>
      <c r="E1262" s="6" t="s">
        <v>18</v>
      </c>
      <c r="F1262" s="45">
        <v>369.00000000000006</v>
      </c>
      <c r="G1262" s="6" t="s">
        <v>34</v>
      </c>
      <c r="H1262" s="6"/>
      <c r="I1262" s="16" t="s">
        <v>83</v>
      </c>
    </row>
    <row r="1263" spans="1:10" x14ac:dyDescent="0.25">
      <c r="A1263" s="6" t="s">
        <v>33</v>
      </c>
      <c r="B1263" s="5">
        <v>45993</v>
      </c>
      <c r="C1263" s="6" t="s">
        <v>1743</v>
      </c>
      <c r="D1263" s="6" t="s">
        <v>38</v>
      </c>
      <c r="E1263" s="6" t="s">
        <v>27</v>
      </c>
      <c r="F1263" s="45">
        <v>930.41379310344837</v>
      </c>
      <c r="G1263" s="6" t="s">
        <v>13</v>
      </c>
      <c r="H1263" s="6"/>
      <c r="I1263" s="16" t="s">
        <v>83</v>
      </c>
    </row>
    <row r="1264" spans="1:10" x14ac:dyDescent="0.25">
      <c r="A1264" s="6" t="s">
        <v>33</v>
      </c>
      <c r="B1264" s="5">
        <v>45993</v>
      </c>
      <c r="C1264" s="6" t="s">
        <v>1744</v>
      </c>
      <c r="D1264" s="6" t="s">
        <v>38</v>
      </c>
      <c r="E1264" s="6" t="s">
        <v>27</v>
      </c>
      <c r="F1264" s="45">
        <v>909.07758620689663</v>
      </c>
      <c r="G1264" s="6" t="s">
        <v>13</v>
      </c>
      <c r="H1264" s="6"/>
      <c r="I1264" s="16" t="s">
        <v>83</v>
      </c>
    </row>
    <row r="1265" spans="1:9" x14ac:dyDescent="0.25">
      <c r="A1265" s="6" t="s">
        <v>33</v>
      </c>
      <c r="B1265" s="5">
        <v>45993</v>
      </c>
      <c r="C1265" s="6" t="s">
        <v>1745</v>
      </c>
      <c r="D1265" s="6" t="s">
        <v>38</v>
      </c>
      <c r="E1265" s="6" t="s">
        <v>27</v>
      </c>
      <c r="F1265" s="45">
        <v>919.91379310344826</v>
      </c>
      <c r="G1265" s="6" t="s">
        <v>13</v>
      </c>
      <c r="H1265" s="6"/>
      <c r="I1265" s="16" t="s">
        <v>83</v>
      </c>
    </row>
    <row r="1266" spans="1:9" x14ac:dyDescent="0.25">
      <c r="A1266" s="6" t="s">
        <v>33</v>
      </c>
      <c r="B1266" s="5">
        <v>45995</v>
      </c>
      <c r="C1266" s="6" t="s">
        <v>1746</v>
      </c>
      <c r="D1266" s="6" t="s">
        <v>1747</v>
      </c>
      <c r="E1266" s="6" t="s">
        <v>11</v>
      </c>
      <c r="F1266" s="45">
        <v>258.62068965517244</v>
      </c>
      <c r="G1266" s="6" t="s">
        <v>15</v>
      </c>
      <c r="H1266" s="6"/>
      <c r="I1266" s="16" t="s">
        <v>83</v>
      </c>
    </row>
    <row r="1267" spans="1:9" x14ac:dyDescent="0.25">
      <c r="A1267" s="6" t="s">
        <v>33</v>
      </c>
      <c r="B1267" s="5">
        <v>45995</v>
      </c>
      <c r="C1267" s="6" t="s">
        <v>1748</v>
      </c>
      <c r="D1267" s="6" t="s">
        <v>14</v>
      </c>
      <c r="E1267" s="6" t="s">
        <v>16</v>
      </c>
      <c r="F1267" s="45">
        <v>2236.0000000000005</v>
      </c>
      <c r="G1267" s="6" t="s">
        <v>15</v>
      </c>
      <c r="H1267" s="6"/>
      <c r="I1267" s="16" t="s">
        <v>83</v>
      </c>
    </row>
    <row r="1268" spans="1:9" x14ac:dyDescent="0.25">
      <c r="A1268" s="6" t="s">
        <v>33</v>
      </c>
      <c r="B1268" s="5">
        <v>45995</v>
      </c>
      <c r="C1268" s="6" t="s">
        <v>1749</v>
      </c>
      <c r="D1268" s="6" t="s">
        <v>22</v>
      </c>
      <c r="E1268" s="6"/>
      <c r="F1268" s="45">
        <v>0</v>
      </c>
      <c r="G1268" s="6"/>
      <c r="H1268" s="6"/>
      <c r="I1268" s="16" t="s">
        <v>83</v>
      </c>
    </row>
    <row r="1269" spans="1:9" x14ac:dyDescent="0.25">
      <c r="A1269" s="6" t="s">
        <v>33</v>
      </c>
      <c r="B1269" s="5">
        <v>45995</v>
      </c>
      <c r="C1269" s="6" t="s">
        <v>1750</v>
      </c>
      <c r="D1269" s="6" t="s">
        <v>22</v>
      </c>
      <c r="E1269" s="6"/>
      <c r="F1269" s="45">
        <v>0</v>
      </c>
      <c r="G1269" s="6"/>
      <c r="H1269" s="6"/>
      <c r="I1269" s="16" t="s">
        <v>83</v>
      </c>
    </row>
    <row r="1270" spans="1:9" x14ac:dyDescent="0.25">
      <c r="A1270" s="6" t="s">
        <v>33</v>
      </c>
      <c r="B1270" s="5">
        <v>45995</v>
      </c>
      <c r="C1270" s="6" t="s">
        <v>1751</v>
      </c>
      <c r="D1270" s="6" t="s">
        <v>14</v>
      </c>
      <c r="E1270" s="6" t="s">
        <v>18</v>
      </c>
      <c r="F1270" s="45">
        <v>400</v>
      </c>
      <c r="G1270" s="6" t="s">
        <v>15</v>
      </c>
      <c r="H1270" s="6"/>
      <c r="I1270" s="16" t="s">
        <v>83</v>
      </c>
    </row>
    <row r="1271" spans="1:9" x14ac:dyDescent="0.25">
      <c r="A1271" s="6" t="s">
        <v>33</v>
      </c>
      <c r="B1271" s="5">
        <v>45997</v>
      </c>
      <c r="C1271" s="6" t="s">
        <v>1752</v>
      </c>
      <c r="D1271" s="6" t="s">
        <v>14</v>
      </c>
      <c r="E1271" s="6" t="s">
        <v>10</v>
      </c>
      <c r="F1271" s="45">
        <v>215.51724137931035</v>
      </c>
      <c r="G1271" s="6" t="s">
        <v>8</v>
      </c>
      <c r="H1271" s="6"/>
      <c r="I1271" s="16" t="s">
        <v>83</v>
      </c>
    </row>
    <row r="1272" spans="1:9" x14ac:dyDescent="0.25">
      <c r="A1272" s="6" t="s">
        <v>33</v>
      </c>
      <c r="B1272" s="5">
        <v>45997</v>
      </c>
      <c r="C1272" s="6" t="s">
        <v>1753</v>
      </c>
      <c r="D1272" s="6" t="s">
        <v>14</v>
      </c>
      <c r="E1272" s="6" t="s">
        <v>18</v>
      </c>
      <c r="F1272" s="45">
        <v>474.13793103448279</v>
      </c>
      <c r="G1272" s="6" t="s">
        <v>15</v>
      </c>
      <c r="H1272" s="6"/>
      <c r="I1272" s="16" t="s">
        <v>83</v>
      </c>
    </row>
    <row r="1273" spans="1:9" x14ac:dyDescent="0.25">
      <c r="A1273" s="6" t="s">
        <v>33</v>
      </c>
      <c r="B1273" s="5">
        <v>45997</v>
      </c>
      <c r="C1273" s="6" t="s">
        <v>1754</v>
      </c>
      <c r="D1273" s="6" t="s">
        <v>14</v>
      </c>
      <c r="E1273" s="6" t="s">
        <v>18</v>
      </c>
      <c r="F1273" s="45">
        <v>140.00000000000003</v>
      </c>
      <c r="G1273" s="6" t="s">
        <v>8</v>
      </c>
      <c r="H1273" s="6"/>
      <c r="I1273" s="16" t="s">
        <v>83</v>
      </c>
    </row>
    <row r="1274" spans="1:9" x14ac:dyDescent="0.25">
      <c r="A1274" s="6" t="s">
        <v>33</v>
      </c>
      <c r="B1274" s="5">
        <v>45999</v>
      </c>
      <c r="C1274" s="6" t="s">
        <v>1755</v>
      </c>
      <c r="D1274" s="6" t="s">
        <v>1726</v>
      </c>
      <c r="E1274" s="6" t="s">
        <v>1360</v>
      </c>
      <c r="F1274" s="45">
        <v>28680.000000000004</v>
      </c>
      <c r="G1274" s="6" t="s">
        <v>968</v>
      </c>
      <c r="H1274" s="6" t="s">
        <v>52</v>
      </c>
      <c r="I1274" s="16" t="s">
        <v>83</v>
      </c>
    </row>
    <row r="1275" spans="1:9" x14ac:dyDescent="0.25">
      <c r="A1275" s="6" t="s">
        <v>33</v>
      </c>
      <c r="B1275" s="5">
        <v>45999</v>
      </c>
      <c r="C1275" s="6" t="s">
        <v>1756</v>
      </c>
      <c r="D1275" s="6" t="s">
        <v>1329</v>
      </c>
      <c r="E1275" s="6" t="s">
        <v>10</v>
      </c>
      <c r="F1275" s="45">
        <v>1683</v>
      </c>
      <c r="G1275" s="6" t="s">
        <v>968</v>
      </c>
      <c r="H1275" s="6"/>
      <c r="I1275" s="16" t="s">
        <v>83</v>
      </c>
    </row>
    <row r="1276" spans="1:9" x14ac:dyDescent="0.25">
      <c r="A1276" s="6" t="s">
        <v>33</v>
      </c>
      <c r="B1276" s="5">
        <v>45999</v>
      </c>
      <c r="C1276" s="6" t="s">
        <v>1757</v>
      </c>
      <c r="D1276" s="7" t="s">
        <v>1329</v>
      </c>
      <c r="E1276" s="6" t="s">
        <v>10</v>
      </c>
      <c r="F1276" s="45">
        <v>1683</v>
      </c>
      <c r="G1276" s="7" t="s">
        <v>968</v>
      </c>
      <c r="H1276" s="6"/>
      <c r="I1276" s="16" t="s">
        <v>83</v>
      </c>
    </row>
    <row r="1277" spans="1:9" x14ac:dyDescent="0.25">
      <c r="A1277" s="6" t="s">
        <v>33</v>
      </c>
      <c r="B1277" s="5">
        <v>45999</v>
      </c>
      <c r="C1277" s="6" t="s">
        <v>1758</v>
      </c>
      <c r="D1277" s="6" t="s">
        <v>1329</v>
      </c>
      <c r="E1277" s="6" t="s">
        <v>10</v>
      </c>
      <c r="F1277" s="45">
        <v>1683</v>
      </c>
      <c r="G1277" s="6" t="s">
        <v>968</v>
      </c>
      <c r="H1277" s="6"/>
      <c r="I1277" s="16" t="s">
        <v>83</v>
      </c>
    </row>
    <row r="1278" spans="1:9" x14ac:dyDescent="0.25">
      <c r="A1278" s="6" t="s">
        <v>33</v>
      </c>
      <c r="B1278" s="5">
        <v>46000</v>
      </c>
      <c r="C1278" s="6" t="s">
        <v>1759</v>
      </c>
      <c r="D1278" s="6" t="s">
        <v>53</v>
      </c>
      <c r="E1278" s="6" t="s">
        <v>23</v>
      </c>
      <c r="F1278" s="45">
        <v>22176</v>
      </c>
      <c r="G1278" s="6" t="s">
        <v>13</v>
      </c>
      <c r="H1278" s="6" t="s">
        <v>39</v>
      </c>
      <c r="I1278" s="16" t="s">
        <v>83</v>
      </c>
    </row>
    <row r="1279" spans="1:9" x14ac:dyDescent="0.25">
      <c r="A1279" s="6" t="s">
        <v>33</v>
      </c>
      <c r="B1279" s="5">
        <v>46000</v>
      </c>
      <c r="C1279" s="6" t="s">
        <v>1760</v>
      </c>
      <c r="D1279" s="6" t="s">
        <v>53</v>
      </c>
      <c r="E1279" s="6" t="s">
        <v>23</v>
      </c>
      <c r="F1279" s="45">
        <v>14960</v>
      </c>
      <c r="G1279" s="6" t="s">
        <v>13</v>
      </c>
      <c r="H1279" s="6" t="s">
        <v>63</v>
      </c>
      <c r="I1279" s="16" t="s">
        <v>83</v>
      </c>
    </row>
    <row r="1280" spans="1:9" x14ac:dyDescent="0.25">
      <c r="A1280" s="6" t="s">
        <v>33</v>
      </c>
      <c r="B1280" s="5">
        <v>46000</v>
      </c>
      <c r="C1280" s="6" t="s">
        <v>1761</v>
      </c>
      <c r="D1280" s="6" t="s">
        <v>1762</v>
      </c>
      <c r="E1280" s="6" t="s">
        <v>10</v>
      </c>
      <c r="F1280" s="45">
        <v>905.17241379310349</v>
      </c>
      <c r="G1280" s="6" t="s">
        <v>8</v>
      </c>
      <c r="H1280" s="6"/>
      <c r="I1280" s="16" t="s">
        <v>83</v>
      </c>
    </row>
    <row r="1281" spans="1:10" x14ac:dyDescent="0.25">
      <c r="A1281" s="6" t="s">
        <v>33</v>
      </c>
      <c r="B1281" s="5">
        <v>46000</v>
      </c>
      <c r="C1281" s="6" t="s">
        <v>1763</v>
      </c>
      <c r="D1281" s="6" t="s">
        <v>14</v>
      </c>
      <c r="E1281" s="6" t="s">
        <v>18</v>
      </c>
      <c r="F1281" s="45">
        <v>220</v>
      </c>
      <c r="G1281" s="6" t="s">
        <v>8</v>
      </c>
      <c r="H1281" s="6"/>
      <c r="I1281" s="16" t="s">
        <v>83</v>
      </c>
    </row>
    <row r="1282" spans="1:10" x14ac:dyDescent="0.25">
      <c r="A1282" s="6" t="s">
        <v>33</v>
      </c>
      <c r="B1282" s="5">
        <v>46001</v>
      </c>
      <c r="C1282" s="6" t="s">
        <v>1764</v>
      </c>
      <c r="D1282" s="6" t="s">
        <v>64</v>
      </c>
      <c r="E1282" s="6" t="s">
        <v>10</v>
      </c>
      <c r="F1282" s="45">
        <v>7344.0000000000009</v>
      </c>
      <c r="G1282" s="6" t="s">
        <v>65</v>
      </c>
      <c r="H1282" s="6"/>
      <c r="I1282" s="16" t="s">
        <v>83</v>
      </c>
    </row>
    <row r="1283" spans="1:10" x14ac:dyDescent="0.25">
      <c r="A1283" s="6" t="s">
        <v>33</v>
      </c>
      <c r="B1283" s="5">
        <v>46001</v>
      </c>
      <c r="C1283" s="6" t="s">
        <v>1765</v>
      </c>
      <c r="D1283" s="6" t="s">
        <v>64</v>
      </c>
      <c r="E1283" s="6" t="s">
        <v>10</v>
      </c>
      <c r="F1283" s="45">
        <v>11283.000000000002</v>
      </c>
      <c r="G1283" s="6" t="s">
        <v>65</v>
      </c>
      <c r="H1283" s="6"/>
      <c r="I1283" s="16" t="s">
        <v>83</v>
      </c>
    </row>
    <row r="1284" spans="1:10" x14ac:dyDescent="0.25">
      <c r="A1284" s="6" t="s">
        <v>33</v>
      </c>
      <c r="B1284" s="5">
        <v>46001</v>
      </c>
      <c r="C1284" s="6" t="s">
        <v>1766</v>
      </c>
      <c r="D1284" s="6" t="s">
        <v>64</v>
      </c>
      <c r="E1284" s="6" t="s">
        <v>18</v>
      </c>
      <c r="F1284" s="45">
        <v>40530.172413793109</v>
      </c>
      <c r="G1284" s="6" t="s">
        <v>65</v>
      </c>
      <c r="H1284" s="6"/>
      <c r="I1284" s="16" t="s">
        <v>83</v>
      </c>
    </row>
    <row r="1285" spans="1:10" x14ac:dyDescent="0.25">
      <c r="A1285" s="6" t="s">
        <v>33</v>
      </c>
      <c r="B1285" s="5">
        <v>46001</v>
      </c>
      <c r="C1285" s="6" t="s">
        <v>1767</v>
      </c>
      <c r="D1285" s="6" t="s">
        <v>22</v>
      </c>
      <c r="E1285" s="6" t="s">
        <v>20</v>
      </c>
      <c r="F1285" s="45">
        <v>2869.9137931034484</v>
      </c>
      <c r="G1285" s="6" t="s">
        <v>34</v>
      </c>
      <c r="H1285" s="6" t="s">
        <v>44</v>
      </c>
      <c r="I1285" s="16" t="s">
        <v>83</v>
      </c>
    </row>
    <row r="1286" spans="1:10" x14ac:dyDescent="0.25">
      <c r="A1286" s="6" t="s">
        <v>33</v>
      </c>
      <c r="B1286" s="5">
        <v>46001</v>
      </c>
      <c r="C1286" s="6" t="s">
        <v>1768</v>
      </c>
      <c r="D1286" s="6" t="s">
        <v>1769</v>
      </c>
      <c r="E1286" s="6" t="s">
        <v>16</v>
      </c>
      <c r="F1286" s="45">
        <v>5619.8275862068967</v>
      </c>
      <c r="G1286" s="6" t="s">
        <v>968</v>
      </c>
      <c r="H1286" s="6"/>
      <c r="I1286" s="16" t="s">
        <v>83</v>
      </c>
    </row>
    <row r="1287" spans="1:10" x14ac:dyDescent="0.25">
      <c r="A1287" s="6" t="s">
        <v>33</v>
      </c>
      <c r="B1287" s="5">
        <v>46001</v>
      </c>
      <c r="C1287" s="6" t="s">
        <v>1770</v>
      </c>
      <c r="D1287" s="6" t="s">
        <v>1771</v>
      </c>
      <c r="E1287" s="6" t="s">
        <v>10</v>
      </c>
      <c r="F1287" s="45">
        <v>9758.0000000000018</v>
      </c>
      <c r="G1287" s="6" t="s">
        <v>13</v>
      </c>
      <c r="H1287" s="6"/>
      <c r="I1287" s="16" t="s">
        <v>83</v>
      </c>
    </row>
    <row r="1288" spans="1:10" x14ac:dyDescent="0.25">
      <c r="A1288" s="6" t="s">
        <v>33</v>
      </c>
      <c r="B1288" s="5">
        <v>46001</v>
      </c>
      <c r="C1288" s="6" t="s">
        <v>1772</v>
      </c>
      <c r="D1288" s="6" t="s">
        <v>14</v>
      </c>
      <c r="E1288" s="6" t="s">
        <v>16</v>
      </c>
      <c r="F1288" s="45">
        <v>850.00000000000011</v>
      </c>
      <c r="G1288" s="6" t="s">
        <v>15</v>
      </c>
      <c r="H1288" s="6"/>
      <c r="I1288" s="16" t="s">
        <v>83</v>
      </c>
    </row>
    <row r="1289" spans="1:10" x14ac:dyDescent="0.25">
      <c r="A1289" s="6" t="s">
        <v>33</v>
      </c>
      <c r="B1289" s="5">
        <v>46006</v>
      </c>
      <c r="C1289" s="6" t="s">
        <v>1773</v>
      </c>
      <c r="D1289" s="6" t="s">
        <v>1450</v>
      </c>
      <c r="E1289" s="6" t="s">
        <v>23</v>
      </c>
      <c r="F1289" s="45">
        <v>35992</v>
      </c>
      <c r="G1289" s="6" t="s">
        <v>13</v>
      </c>
      <c r="H1289" s="6" t="s">
        <v>1774</v>
      </c>
      <c r="I1289" s="16" t="s">
        <v>83</v>
      </c>
    </row>
    <row r="1290" spans="1:10" x14ac:dyDescent="0.25">
      <c r="A1290" s="6" t="s">
        <v>33</v>
      </c>
      <c r="B1290" s="5">
        <v>46006</v>
      </c>
      <c r="C1290" s="6" t="s">
        <v>1775</v>
      </c>
      <c r="D1290" s="6" t="s">
        <v>1776</v>
      </c>
      <c r="E1290" s="6" t="s">
        <v>20</v>
      </c>
      <c r="F1290" s="45">
        <v>3602.5862068965521</v>
      </c>
      <c r="G1290" s="6" t="s">
        <v>968</v>
      </c>
      <c r="H1290" s="6" t="s">
        <v>1777</v>
      </c>
      <c r="I1290" s="16" t="s">
        <v>83</v>
      </c>
    </row>
    <row r="1291" spans="1:10" x14ac:dyDescent="0.25">
      <c r="A1291" s="6" t="s">
        <v>33</v>
      </c>
      <c r="B1291" s="5">
        <v>46006</v>
      </c>
      <c r="C1291" s="6" t="s">
        <v>1778</v>
      </c>
      <c r="D1291" s="6" t="s">
        <v>14</v>
      </c>
      <c r="E1291" s="6" t="s">
        <v>11</v>
      </c>
      <c r="F1291" s="45">
        <v>258.62068965517244</v>
      </c>
      <c r="G1291" s="6" t="s">
        <v>15</v>
      </c>
      <c r="H1291" s="6"/>
      <c r="I1291" s="16" t="s">
        <v>83</v>
      </c>
    </row>
    <row r="1292" spans="1:10" x14ac:dyDescent="0.25">
      <c r="A1292" s="6" t="s">
        <v>33</v>
      </c>
      <c r="B1292" s="5">
        <v>46006</v>
      </c>
      <c r="C1292" s="6" t="s">
        <v>1779</v>
      </c>
      <c r="D1292" s="6" t="s">
        <v>1780</v>
      </c>
      <c r="E1292" s="6" t="s">
        <v>20</v>
      </c>
      <c r="F1292" s="45">
        <v>4258.620689655173</v>
      </c>
      <c r="G1292" s="6" t="s">
        <v>968</v>
      </c>
      <c r="H1292" s="6" t="s">
        <v>1781</v>
      </c>
      <c r="I1292" s="16" t="s">
        <v>83</v>
      </c>
    </row>
    <row r="1293" spans="1:10" x14ac:dyDescent="0.25">
      <c r="A1293" s="20" t="s">
        <v>33</v>
      </c>
      <c r="B1293" s="19">
        <v>46006</v>
      </c>
      <c r="C1293" s="20" t="s">
        <v>1782</v>
      </c>
      <c r="D1293" s="20" t="s">
        <v>22</v>
      </c>
      <c r="E1293" s="20" t="s">
        <v>23</v>
      </c>
      <c r="F1293" s="47">
        <v>25900</v>
      </c>
      <c r="G1293" s="20" t="s">
        <v>34</v>
      </c>
      <c r="H1293" s="20" t="s">
        <v>1783</v>
      </c>
      <c r="I1293" s="66" t="s">
        <v>83</v>
      </c>
      <c r="J1293" s="52" t="s">
        <v>2035</v>
      </c>
    </row>
    <row r="1294" spans="1:10" x14ac:dyDescent="0.25">
      <c r="A1294" s="6" t="s">
        <v>33</v>
      </c>
      <c r="B1294" s="5">
        <v>46007</v>
      </c>
      <c r="C1294" s="21" t="s">
        <v>1784</v>
      </c>
      <c r="D1294" s="6" t="s">
        <v>1661</v>
      </c>
      <c r="E1294" s="6" t="s">
        <v>20</v>
      </c>
      <c r="F1294" s="45">
        <v>9396.5517241379312</v>
      </c>
      <c r="G1294" s="6" t="s">
        <v>968</v>
      </c>
      <c r="H1294" s="6" t="s">
        <v>58</v>
      </c>
      <c r="I1294" s="16" t="s">
        <v>83</v>
      </c>
    </row>
    <row r="1295" spans="1:10" x14ac:dyDescent="0.25">
      <c r="A1295" s="6" t="s">
        <v>33</v>
      </c>
      <c r="B1295" s="5">
        <v>46008</v>
      </c>
      <c r="C1295" s="6" t="s">
        <v>1785</v>
      </c>
      <c r="D1295" s="6" t="s">
        <v>1661</v>
      </c>
      <c r="E1295" s="6" t="s">
        <v>16</v>
      </c>
      <c r="F1295" s="45">
        <v>7790</v>
      </c>
      <c r="G1295" s="6" t="s">
        <v>968</v>
      </c>
      <c r="H1295" s="6"/>
      <c r="I1295" s="16" t="s">
        <v>83</v>
      </c>
    </row>
    <row r="1296" spans="1:10" x14ac:dyDescent="0.25">
      <c r="A1296" s="6" t="s">
        <v>33</v>
      </c>
      <c r="B1296" s="5">
        <v>46009</v>
      </c>
      <c r="C1296" s="6" t="s">
        <v>1786</v>
      </c>
      <c r="D1296" s="6" t="s">
        <v>1787</v>
      </c>
      <c r="E1296" s="6" t="s">
        <v>16</v>
      </c>
      <c r="F1296" s="45">
        <v>1585</v>
      </c>
      <c r="G1296" s="6" t="s">
        <v>15</v>
      </c>
      <c r="H1296" s="6"/>
      <c r="I1296" s="16" t="s">
        <v>83</v>
      </c>
    </row>
    <row r="1297" spans="1:9" x14ac:dyDescent="0.25">
      <c r="A1297" s="6" t="s">
        <v>33</v>
      </c>
      <c r="B1297" s="5">
        <v>46009</v>
      </c>
      <c r="C1297" s="6" t="s">
        <v>1788</v>
      </c>
      <c r="D1297" s="6" t="s">
        <v>14</v>
      </c>
      <c r="E1297" s="7" t="s">
        <v>27</v>
      </c>
      <c r="F1297" s="45">
        <v>530</v>
      </c>
      <c r="G1297" s="7" t="s">
        <v>15</v>
      </c>
      <c r="H1297" s="6"/>
      <c r="I1297" s="16" t="s">
        <v>83</v>
      </c>
    </row>
    <row r="1298" spans="1:9" x14ac:dyDescent="0.25">
      <c r="A1298" s="6" t="s">
        <v>33</v>
      </c>
      <c r="B1298" s="5">
        <v>46014</v>
      </c>
      <c r="C1298" s="6" t="s">
        <v>1789</v>
      </c>
      <c r="D1298" s="6" t="s">
        <v>1174</v>
      </c>
      <c r="E1298" s="6" t="s">
        <v>20</v>
      </c>
      <c r="F1298" s="45">
        <v>8926.7241379310344</v>
      </c>
      <c r="G1298" s="6" t="s">
        <v>968</v>
      </c>
      <c r="H1298" s="6" t="s">
        <v>58</v>
      </c>
      <c r="I1298" s="16" t="s">
        <v>83</v>
      </c>
    </row>
    <row r="1299" spans="1:9" x14ac:dyDescent="0.25">
      <c r="A1299" s="6" t="s">
        <v>33</v>
      </c>
      <c r="B1299" s="5">
        <v>46014</v>
      </c>
      <c r="C1299" s="6" t="s">
        <v>1790</v>
      </c>
      <c r="D1299" s="6" t="s">
        <v>22</v>
      </c>
      <c r="E1299" s="6" t="s">
        <v>10</v>
      </c>
      <c r="F1299" s="45">
        <v>9263</v>
      </c>
      <c r="G1299" s="6" t="s">
        <v>34</v>
      </c>
      <c r="H1299" s="6"/>
      <c r="I1299" s="16" t="s">
        <v>83</v>
      </c>
    </row>
    <row r="1300" spans="1:9" x14ac:dyDescent="0.25">
      <c r="A1300" s="6" t="s">
        <v>33</v>
      </c>
      <c r="B1300" s="5">
        <v>46014</v>
      </c>
      <c r="C1300" s="6" t="s">
        <v>1791</v>
      </c>
      <c r="D1300" s="6" t="s">
        <v>14</v>
      </c>
      <c r="E1300" s="6" t="s">
        <v>16</v>
      </c>
      <c r="F1300" s="45">
        <v>1739.3103448275863</v>
      </c>
      <c r="G1300" s="6" t="s">
        <v>15</v>
      </c>
      <c r="H1300" s="6"/>
      <c r="I1300" s="16" t="s">
        <v>83</v>
      </c>
    </row>
    <row r="1301" spans="1:9" x14ac:dyDescent="0.25">
      <c r="A1301" s="6" t="s">
        <v>33</v>
      </c>
      <c r="B1301" s="5">
        <v>46014</v>
      </c>
      <c r="C1301" s="6" t="s">
        <v>1792</v>
      </c>
      <c r="D1301" s="6" t="s">
        <v>14</v>
      </c>
      <c r="E1301" s="6" t="s">
        <v>20</v>
      </c>
      <c r="F1301" s="45">
        <v>1767.2413793103449</v>
      </c>
      <c r="G1301" s="6" t="s">
        <v>8</v>
      </c>
      <c r="H1301" s="6" t="s">
        <v>1793</v>
      </c>
      <c r="I1301" s="16" t="s">
        <v>83</v>
      </c>
    </row>
    <row r="1302" spans="1:9" x14ac:dyDescent="0.25">
      <c r="A1302" s="6" t="s">
        <v>33</v>
      </c>
      <c r="B1302" s="5">
        <v>46017</v>
      </c>
      <c r="C1302" s="6" t="s">
        <v>1794</v>
      </c>
      <c r="D1302" s="6" t="s">
        <v>22</v>
      </c>
      <c r="E1302" s="6" t="s">
        <v>10</v>
      </c>
      <c r="F1302" s="45">
        <v>76.5</v>
      </c>
      <c r="G1302" s="6" t="s">
        <v>34</v>
      </c>
      <c r="H1302" s="6"/>
      <c r="I1302" s="16" t="s">
        <v>83</v>
      </c>
    </row>
    <row r="1303" spans="1:9" x14ac:dyDescent="0.25">
      <c r="A1303" s="6" t="s">
        <v>33</v>
      </c>
      <c r="B1303" s="5">
        <v>46017</v>
      </c>
      <c r="C1303" s="6" t="s">
        <v>1795</v>
      </c>
      <c r="D1303" s="6" t="s">
        <v>14</v>
      </c>
      <c r="E1303" s="6" t="s">
        <v>11</v>
      </c>
      <c r="F1303" s="45">
        <v>258.62068965517244</v>
      </c>
      <c r="G1303" s="6" t="s">
        <v>15</v>
      </c>
      <c r="H1303" s="6"/>
      <c r="I1303" s="16" t="s">
        <v>83</v>
      </c>
    </row>
    <row r="1304" spans="1:9" x14ac:dyDescent="0.25">
      <c r="A1304" s="6" t="s">
        <v>33</v>
      </c>
      <c r="B1304" s="5">
        <v>46017</v>
      </c>
      <c r="C1304" s="6" t="s">
        <v>1796</v>
      </c>
      <c r="D1304" s="6" t="s">
        <v>1797</v>
      </c>
      <c r="E1304" s="6" t="s">
        <v>11</v>
      </c>
      <c r="F1304" s="45">
        <v>258.62068965517244</v>
      </c>
      <c r="G1304" s="6" t="s">
        <v>15</v>
      </c>
      <c r="H1304" s="6"/>
      <c r="I1304" s="16" t="s">
        <v>83</v>
      </c>
    </row>
    <row r="1305" spans="1:9" x14ac:dyDescent="0.25">
      <c r="A1305" s="6" t="s">
        <v>33</v>
      </c>
      <c r="B1305" s="5">
        <v>46020</v>
      </c>
      <c r="C1305" s="6" t="s">
        <v>1798</v>
      </c>
      <c r="D1305" s="6" t="s">
        <v>1174</v>
      </c>
      <c r="E1305" s="6" t="s">
        <v>20</v>
      </c>
      <c r="F1305" s="45">
        <v>8926.7241379310344</v>
      </c>
      <c r="G1305" s="6" t="s">
        <v>968</v>
      </c>
      <c r="H1305" s="6" t="s">
        <v>58</v>
      </c>
      <c r="I1305" s="16" t="s">
        <v>83</v>
      </c>
    </row>
    <row r="1306" spans="1:9" x14ac:dyDescent="0.25">
      <c r="A1306" s="6" t="s">
        <v>33</v>
      </c>
      <c r="B1306" s="5">
        <v>46020</v>
      </c>
      <c r="C1306" s="6" t="s">
        <v>1799</v>
      </c>
      <c r="D1306" s="6" t="s">
        <v>1239</v>
      </c>
      <c r="E1306" s="6" t="s">
        <v>18</v>
      </c>
      <c r="F1306" s="45">
        <v>2340.0000000000005</v>
      </c>
      <c r="G1306" s="6" t="s">
        <v>968</v>
      </c>
      <c r="H1306" s="6"/>
      <c r="I1306" s="16" t="s">
        <v>83</v>
      </c>
    </row>
    <row r="1307" spans="1:9" x14ac:dyDescent="0.25">
      <c r="A1307" s="6" t="s">
        <v>33</v>
      </c>
      <c r="B1307" s="5">
        <v>46020</v>
      </c>
      <c r="C1307" s="6" t="s">
        <v>1800</v>
      </c>
      <c r="D1307" s="6" t="s">
        <v>1239</v>
      </c>
      <c r="E1307" s="6" t="s">
        <v>18</v>
      </c>
      <c r="F1307" s="45">
        <v>6886.0000000000009</v>
      </c>
      <c r="G1307" s="6" t="s">
        <v>968</v>
      </c>
      <c r="H1307" s="6"/>
      <c r="I1307" s="16" t="s">
        <v>83</v>
      </c>
    </row>
    <row r="1308" spans="1:9" x14ac:dyDescent="0.25">
      <c r="A1308" s="6" t="s">
        <v>33</v>
      </c>
      <c r="B1308" s="5">
        <v>46020</v>
      </c>
      <c r="C1308" s="6" t="s">
        <v>1801</v>
      </c>
      <c r="D1308" s="6" t="s">
        <v>1239</v>
      </c>
      <c r="E1308" s="6" t="s">
        <v>10</v>
      </c>
      <c r="F1308" s="45">
        <v>1593.0000000000002</v>
      </c>
      <c r="G1308" s="6" t="s">
        <v>968</v>
      </c>
      <c r="H1308" s="6"/>
      <c r="I1308" s="16" t="s">
        <v>83</v>
      </c>
    </row>
    <row r="1309" spans="1:9" x14ac:dyDescent="0.25">
      <c r="A1309" s="6" t="s">
        <v>33</v>
      </c>
      <c r="B1309" s="5">
        <v>46020</v>
      </c>
      <c r="C1309" s="6" t="s">
        <v>1802</v>
      </c>
      <c r="D1309" s="6" t="s">
        <v>1803</v>
      </c>
      <c r="E1309" s="6" t="s">
        <v>11</v>
      </c>
      <c r="F1309" s="45">
        <v>431.0344827586207</v>
      </c>
      <c r="G1309" s="6" t="s">
        <v>15</v>
      </c>
      <c r="H1309" s="6"/>
      <c r="I1309" s="16" t="s">
        <v>83</v>
      </c>
    </row>
    <row r="1310" spans="1:9" x14ac:dyDescent="0.25">
      <c r="A1310" s="6" t="s">
        <v>33</v>
      </c>
      <c r="B1310" s="5">
        <v>46020</v>
      </c>
      <c r="C1310" s="6" t="s">
        <v>1804</v>
      </c>
      <c r="D1310" s="6" t="s">
        <v>1803</v>
      </c>
      <c r="E1310" s="6" t="s">
        <v>11</v>
      </c>
      <c r="F1310" s="45">
        <v>862.06896551724139</v>
      </c>
      <c r="G1310" s="6" t="s">
        <v>15</v>
      </c>
      <c r="H1310" s="6"/>
      <c r="I1310" s="16" t="s">
        <v>83</v>
      </c>
    </row>
    <row r="1311" spans="1:9" x14ac:dyDescent="0.25">
      <c r="A1311" s="6" t="s">
        <v>33</v>
      </c>
      <c r="B1311" s="5">
        <v>46021</v>
      </c>
      <c r="C1311" s="6" t="s">
        <v>1805</v>
      </c>
      <c r="D1311" s="6" t="s">
        <v>14</v>
      </c>
      <c r="E1311" s="6" t="s">
        <v>10</v>
      </c>
      <c r="F1311" s="45">
        <v>215.51724137931035</v>
      </c>
      <c r="G1311" s="6" t="s">
        <v>8</v>
      </c>
      <c r="H1311" s="6"/>
      <c r="I1311" s="16" t="s">
        <v>83</v>
      </c>
    </row>
    <row r="1312" spans="1:9" ht="15.75" x14ac:dyDescent="0.25">
      <c r="A1312" s="44" t="s">
        <v>1837</v>
      </c>
      <c r="B1312" s="49">
        <v>46027</v>
      </c>
      <c r="C1312" s="44" t="s">
        <v>1910</v>
      </c>
      <c r="D1312" s="44" t="s">
        <v>14</v>
      </c>
      <c r="E1312" s="44" t="s">
        <v>10</v>
      </c>
      <c r="F1312" s="48">
        <v>103.44827586206897</v>
      </c>
      <c r="G1312" s="44" t="s">
        <v>948</v>
      </c>
      <c r="H1312" s="44"/>
      <c r="I1312" s="16" t="s">
        <v>83</v>
      </c>
    </row>
    <row r="1313" spans="1:9" ht="15.75" x14ac:dyDescent="0.25">
      <c r="A1313" s="44" t="s">
        <v>1837</v>
      </c>
      <c r="B1313" s="49">
        <v>46027</v>
      </c>
      <c r="C1313" s="44" t="s">
        <v>1911</v>
      </c>
      <c r="D1313" s="44" t="s">
        <v>14</v>
      </c>
      <c r="E1313" s="44" t="s">
        <v>11</v>
      </c>
      <c r="F1313" s="48">
        <v>258.62068965517244</v>
      </c>
      <c r="G1313" s="44" t="s">
        <v>15</v>
      </c>
      <c r="H1313" s="44"/>
      <c r="I1313" s="16" t="s">
        <v>83</v>
      </c>
    </row>
    <row r="1314" spans="1:9" ht="15.75" x14ac:dyDescent="0.25">
      <c r="A1314" s="44" t="s">
        <v>1837</v>
      </c>
      <c r="B1314" s="49">
        <v>46027</v>
      </c>
      <c r="C1314" s="44" t="s">
        <v>1912</v>
      </c>
      <c r="D1314" s="44" t="s">
        <v>14</v>
      </c>
      <c r="E1314" s="44" t="s">
        <v>10</v>
      </c>
      <c r="F1314" s="48">
        <v>1465.5172413793105</v>
      </c>
      <c r="G1314" s="44" t="s">
        <v>948</v>
      </c>
      <c r="H1314" s="44"/>
      <c r="I1314" s="16" t="s">
        <v>83</v>
      </c>
    </row>
    <row r="1315" spans="1:9" ht="15.75" x14ac:dyDescent="0.25">
      <c r="A1315" s="44" t="s">
        <v>1837</v>
      </c>
      <c r="B1315" s="49">
        <v>46027</v>
      </c>
      <c r="C1315" s="44" t="s">
        <v>1913</v>
      </c>
      <c r="D1315" s="44" t="s">
        <v>1176</v>
      </c>
      <c r="E1315" s="44" t="s">
        <v>16</v>
      </c>
      <c r="F1315" s="48">
        <v>57255.000000000007</v>
      </c>
      <c r="G1315" s="44" t="s">
        <v>956</v>
      </c>
      <c r="H1315" s="44"/>
      <c r="I1315" s="16" t="s">
        <v>83</v>
      </c>
    </row>
    <row r="1316" spans="1:9" ht="15.75" x14ac:dyDescent="0.25">
      <c r="A1316" s="44" t="s">
        <v>1837</v>
      </c>
      <c r="B1316" s="49">
        <v>46027</v>
      </c>
      <c r="C1316" s="44" t="s">
        <v>1914</v>
      </c>
      <c r="D1316" s="44" t="s">
        <v>1176</v>
      </c>
      <c r="E1316" s="44" t="s">
        <v>27</v>
      </c>
      <c r="F1316" s="48">
        <v>1600</v>
      </c>
      <c r="G1316" s="44" t="s">
        <v>956</v>
      </c>
      <c r="H1316" s="44"/>
      <c r="I1316" s="16" t="s">
        <v>83</v>
      </c>
    </row>
    <row r="1317" spans="1:9" ht="15.75" x14ac:dyDescent="0.25">
      <c r="A1317" s="44" t="s">
        <v>1837</v>
      </c>
      <c r="B1317" s="49">
        <v>46027</v>
      </c>
      <c r="C1317" s="44" t="s">
        <v>1915</v>
      </c>
      <c r="D1317" s="44" t="s">
        <v>14</v>
      </c>
      <c r="E1317" s="44" t="s">
        <v>10</v>
      </c>
      <c r="F1317" s="48">
        <v>301.72413793103448</v>
      </c>
      <c r="G1317" s="44" t="s">
        <v>948</v>
      </c>
      <c r="H1317" s="44"/>
      <c r="I1317" s="16" t="s">
        <v>83</v>
      </c>
    </row>
    <row r="1318" spans="1:9" ht="15.75" x14ac:dyDescent="0.25">
      <c r="A1318" s="44" t="s">
        <v>1837</v>
      </c>
      <c r="B1318" s="49">
        <v>46030</v>
      </c>
      <c r="C1318" s="44" t="s">
        <v>1916</v>
      </c>
      <c r="D1318" s="44" t="s">
        <v>14</v>
      </c>
      <c r="E1318" s="44" t="s">
        <v>10</v>
      </c>
      <c r="F1318" s="48">
        <v>2456.0344827586209</v>
      </c>
      <c r="G1318" s="44" t="s">
        <v>948</v>
      </c>
      <c r="H1318" s="44"/>
      <c r="I1318" s="16" t="s">
        <v>83</v>
      </c>
    </row>
    <row r="1319" spans="1:9" ht="15.75" x14ac:dyDescent="0.25">
      <c r="A1319" s="44" t="s">
        <v>1837</v>
      </c>
      <c r="B1319" s="49">
        <v>46031</v>
      </c>
      <c r="C1319" s="44" t="s">
        <v>1917</v>
      </c>
      <c r="D1319" s="44" t="s">
        <v>14</v>
      </c>
      <c r="E1319" s="44" t="s">
        <v>10</v>
      </c>
      <c r="F1319" s="48">
        <v>172.41379310344828</v>
      </c>
      <c r="G1319" s="44" t="s">
        <v>948</v>
      </c>
      <c r="H1319" s="44"/>
      <c r="I1319" s="16" t="s">
        <v>83</v>
      </c>
    </row>
    <row r="1320" spans="1:9" ht="15.75" x14ac:dyDescent="0.25">
      <c r="A1320" s="44" t="s">
        <v>1837</v>
      </c>
      <c r="B1320" s="49">
        <v>46031</v>
      </c>
      <c r="C1320" s="44" t="s">
        <v>1918</v>
      </c>
      <c r="D1320" s="44" t="s">
        <v>22</v>
      </c>
      <c r="E1320" s="44"/>
      <c r="F1320" s="48">
        <v>0</v>
      </c>
      <c r="G1320" s="44"/>
      <c r="H1320" s="44"/>
      <c r="I1320" s="16" t="s">
        <v>83</v>
      </c>
    </row>
    <row r="1321" spans="1:9" ht="15.75" x14ac:dyDescent="0.25">
      <c r="A1321" s="44" t="s">
        <v>1837</v>
      </c>
      <c r="B1321" s="49">
        <v>46031</v>
      </c>
      <c r="C1321" s="44" t="s">
        <v>1919</v>
      </c>
      <c r="D1321" s="44" t="s">
        <v>22</v>
      </c>
      <c r="E1321" s="44"/>
      <c r="F1321" s="48">
        <v>0</v>
      </c>
      <c r="G1321" s="44"/>
      <c r="H1321" s="44"/>
      <c r="I1321" s="16" t="s">
        <v>83</v>
      </c>
    </row>
    <row r="1322" spans="1:9" ht="15.75" x14ac:dyDescent="0.25">
      <c r="A1322" s="44" t="s">
        <v>1837</v>
      </c>
      <c r="B1322" s="49">
        <v>46032</v>
      </c>
      <c r="C1322" s="44" t="s">
        <v>1920</v>
      </c>
      <c r="D1322" s="44" t="s">
        <v>14</v>
      </c>
      <c r="E1322" s="44" t="s">
        <v>10</v>
      </c>
      <c r="F1322" s="58">
        <v>362.06896551724139</v>
      </c>
      <c r="G1322" s="44" t="s">
        <v>948</v>
      </c>
      <c r="H1322" s="44"/>
      <c r="I1322" s="16" t="s">
        <v>83</v>
      </c>
    </row>
    <row r="1323" spans="1:9" ht="15.75" x14ac:dyDescent="0.25">
      <c r="A1323" s="44" t="s">
        <v>1837</v>
      </c>
      <c r="B1323" s="49">
        <v>46032</v>
      </c>
      <c r="C1323" s="44" t="s">
        <v>1921</v>
      </c>
      <c r="D1323" s="44" t="s">
        <v>14</v>
      </c>
      <c r="E1323" s="44" t="s">
        <v>16</v>
      </c>
      <c r="F1323" s="48">
        <v>1418.0000000000002</v>
      </c>
      <c r="G1323" s="44" t="s">
        <v>15</v>
      </c>
      <c r="H1323" s="44"/>
      <c r="I1323" s="16" t="s">
        <v>83</v>
      </c>
    </row>
    <row r="1324" spans="1:9" ht="15.75" x14ac:dyDescent="0.25">
      <c r="A1324" s="44" t="s">
        <v>1837</v>
      </c>
      <c r="B1324" s="49">
        <v>46034</v>
      </c>
      <c r="C1324" s="44" t="s">
        <v>1922</v>
      </c>
      <c r="D1324" s="44" t="s">
        <v>22</v>
      </c>
      <c r="E1324" s="44" t="s">
        <v>10</v>
      </c>
      <c r="F1324" s="48">
        <v>171.00000000000003</v>
      </c>
      <c r="G1324" s="44" t="s">
        <v>956</v>
      </c>
      <c r="H1324" s="44"/>
      <c r="I1324" s="16" t="s">
        <v>83</v>
      </c>
    </row>
    <row r="1325" spans="1:9" ht="15.75" x14ac:dyDescent="0.25">
      <c r="A1325" s="44" t="s">
        <v>1837</v>
      </c>
      <c r="B1325" s="49">
        <v>46034</v>
      </c>
      <c r="C1325" s="44" t="s">
        <v>1923</v>
      </c>
      <c r="D1325" s="44" t="s">
        <v>22</v>
      </c>
      <c r="E1325" s="44" t="s">
        <v>18</v>
      </c>
      <c r="F1325" s="48">
        <v>1516.5000000000002</v>
      </c>
      <c r="G1325" s="44" t="s">
        <v>956</v>
      </c>
      <c r="H1325" s="44"/>
      <c r="I1325" s="16" t="s">
        <v>83</v>
      </c>
    </row>
    <row r="1326" spans="1:9" ht="15.75" x14ac:dyDescent="0.25">
      <c r="A1326" s="44" t="s">
        <v>1837</v>
      </c>
      <c r="B1326" s="49">
        <v>46034</v>
      </c>
      <c r="C1326" s="44" t="s">
        <v>1924</v>
      </c>
      <c r="D1326" s="44" t="s">
        <v>38</v>
      </c>
      <c r="E1326" s="44" t="s">
        <v>27</v>
      </c>
      <c r="F1326" s="48">
        <v>930.41379310344837</v>
      </c>
      <c r="G1326" s="44" t="s">
        <v>13</v>
      </c>
      <c r="H1326" s="44"/>
      <c r="I1326" s="16" t="s">
        <v>83</v>
      </c>
    </row>
    <row r="1327" spans="1:9" ht="15.75" x14ac:dyDescent="0.25">
      <c r="A1327" s="44" t="s">
        <v>1837</v>
      </c>
      <c r="B1327" s="49">
        <v>46034</v>
      </c>
      <c r="C1327" s="44" t="s">
        <v>1812</v>
      </c>
      <c r="D1327" s="44" t="s">
        <v>38</v>
      </c>
      <c r="E1327" s="44" t="s">
        <v>27</v>
      </c>
      <c r="F1327" s="48">
        <v>909.07758620689663</v>
      </c>
      <c r="G1327" s="44" t="s">
        <v>13</v>
      </c>
      <c r="H1327" s="44"/>
      <c r="I1327" s="16" t="s">
        <v>83</v>
      </c>
    </row>
    <row r="1328" spans="1:9" ht="15.75" x14ac:dyDescent="0.25">
      <c r="A1328" s="44" t="s">
        <v>1837</v>
      </c>
      <c r="B1328" s="49">
        <v>46034</v>
      </c>
      <c r="C1328" s="44" t="s">
        <v>1925</v>
      </c>
      <c r="D1328" s="44" t="s">
        <v>38</v>
      </c>
      <c r="E1328" s="44" t="s">
        <v>27</v>
      </c>
      <c r="F1328" s="48">
        <v>919.91379310344826</v>
      </c>
      <c r="G1328" s="44" t="s">
        <v>13</v>
      </c>
      <c r="H1328" s="44"/>
      <c r="I1328" s="16" t="s">
        <v>83</v>
      </c>
    </row>
    <row r="1329" spans="1:9" ht="15.75" x14ac:dyDescent="0.25">
      <c r="A1329" s="44" t="s">
        <v>1837</v>
      </c>
      <c r="B1329" s="49">
        <v>46035</v>
      </c>
      <c r="C1329" s="44" t="s">
        <v>1926</v>
      </c>
      <c r="D1329" s="44" t="s">
        <v>22</v>
      </c>
      <c r="E1329" s="44"/>
      <c r="F1329" s="48">
        <v>0</v>
      </c>
      <c r="G1329" s="44"/>
      <c r="H1329" s="44"/>
      <c r="I1329" s="16" t="s">
        <v>83</v>
      </c>
    </row>
    <row r="1330" spans="1:9" ht="15.75" x14ac:dyDescent="0.25">
      <c r="A1330" s="44" t="s">
        <v>1837</v>
      </c>
      <c r="B1330" s="49">
        <v>46035</v>
      </c>
      <c r="C1330" s="44" t="s">
        <v>1927</v>
      </c>
      <c r="D1330" s="44" t="s">
        <v>1504</v>
      </c>
      <c r="E1330" s="44" t="s">
        <v>16</v>
      </c>
      <c r="F1330" s="48">
        <v>2436.0000000000005</v>
      </c>
      <c r="G1330" s="44" t="s">
        <v>968</v>
      </c>
      <c r="H1330" s="44"/>
      <c r="I1330" s="16" t="s">
        <v>83</v>
      </c>
    </row>
    <row r="1331" spans="1:9" ht="15.75" x14ac:dyDescent="0.25">
      <c r="A1331" s="44" t="s">
        <v>1837</v>
      </c>
      <c r="B1331" s="49">
        <v>46036</v>
      </c>
      <c r="C1331" s="44" t="s">
        <v>1928</v>
      </c>
      <c r="D1331" s="44" t="s">
        <v>1929</v>
      </c>
      <c r="E1331" s="44" t="s">
        <v>16</v>
      </c>
      <c r="F1331" s="48">
        <v>2574.0000000000005</v>
      </c>
      <c r="G1331" s="44" t="s">
        <v>15</v>
      </c>
      <c r="H1331" s="44"/>
      <c r="I1331" s="16" t="s">
        <v>83</v>
      </c>
    </row>
    <row r="1332" spans="1:9" ht="15.75" x14ac:dyDescent="0.25">
      <c r="A1332" s="44" t="s">
        <v>1837</v>
      </c>
      <c r="B1332" s="49">
        <v>46036</v>
      </c>
      <c r="C1332" s="44" t="s">
        <v>1930</v>
      </c>
      <c r="D1332" s="44" t="s">
        <v>30</v>
      </c>
      <c r="E1332" s="44"/>
      <c r="F1332" s="48">
        <v>0</v>
      </c>
      <c r="G1332" s="44"/>
      <c r="H1332" s="44"/>
      <c r="I1332" s="16" t="s">
        <v>83</v>
      </c>
    </row>
    <row r="1333" spans="1:9" ht="15.75" x14ac:dyDescent="0.25">
      <c r="A1333" s="44" t="s">
        <v>1837</v>
      </c>
      <c r="B1333" s="49">
        <v>46036</v>
      </c>
      <c r="C1333" s="44" t="s">
        <v>1931</v>
      </c>
      <c r="D1333" s="44" t="s">
        <v>1932</v>
      </c>
      <c r="E1333" s="44" t="s">
        <v>10</v>
      </c>
      <c r="F1333" s="48">
        <v>1465.5172413793105</v>
      </c>
      <c r="G1333" s="44" t="s">
        <v>948</v>
      </c>
      <c r="H1333" s="44"/>
      <c r="I1333" s="16" t="s">
        <v>83</v>
      </c>
    </row>
    <row r="1334" spans="1:9" ht="15.75" x14ac:dyDescent="0.25">
      <c r="A1334" s="44" t="s">
        <v>1837</v>
      </c>
      <c r="B1334" s="49">
        <v>46038</v>
      </c>
      <c r="C1334" s="44" t="s">
        <v>1933</v>
      </c>
      <c r="D1334" s="44" t="s">
        <v>14</v>
      </c>
      <c r="E1334" s="44" t="s">
        <v>10</v>
      </c>
      <c r="F1334" s="48">
        <v>129.31034482758622</v>
      </c>
      <c r="G1334" s="44" t="s">
        <v>948</v>
      </c>
      <c r="H1334" s="44"/>
      <c r="I1334" s="16" t="s">
        <v>83</v>
      </c>
    </row>
    <row r="1335" spans="1:9" ht="15.75" x14ac:dyDescent="0.25">
      <c r="A1335" s="44" t="s">
        <v>1837</v>
      </c>
      <c r="B1335" s="49">
        <v>46038</v>
      </c>
      <c r="C1335" s="44" t="s">
        <v>1934</v>
      </c>
      <c r="D1335" s="44" t="s">
        <v>340</v>
      </c>
      <c r="E1335" s="44" t="s">
        <v>18</v>
      </c>
      <c r="F1335" s="48">
        <v>1163.793103448276</v>
      </c>
      <c r="G1335" s="44" t="s">
        <v>948</v>
      </c>
      <c r="H1335" s="44"/>
      <c r="I1335" s="16" t="s">
        <v>83</v>
      </c>
    </row>
    <row r="1336" spans="1:9" ht="15.75" x14ac:dyDescent="0.25">
      <c r="A1336" s="44" t="s">
        <v>1837</v>
      </c>
      <c r="B1336" s="49">
        <v>46038</v>
      </c>
      <c r="C1336" s="44" t="s">
        <v>1935</v>
      </c>
      <c r="D1336" s="44" t="s">
        <v>340</v>
      </c>
      <c r="E1336" s="44" t="s">
        <v>11</v>
      </c>
      <c r="F1336" s="48">
        <v>258.62068965517244</v>
      </c>
      <c r="G1336" s="44" t="s">
        <v>15</v>
      </c>
      <c r="H1336" s="44"/>
      <c r="I1336" s="16" t="s">
        <v>83</v>
      </c>
    </row>
    <row r="1337" spans="1:9" ht="15.75" x14ac:dyDescent="0.25">
      <c r="A1337" s="44" t="s">
        <v>1837</v>
      </c>
      <c r="B1337" s="49">
        <v>46043</v>
      </c>
      <c r="C1337" s="44" t="s">
        <v>1936</v>
      </c>
      <c r="D1337" s="44" t="s">
        <v>1937</v>
      </c>
      <c r="E1337" s="44" t="s">
        <v>23</v>
      </c>
      <c r="F1337" s="48">
        <v>17000</v>
      </c>
      <c r="G1337" s="44" t="s">
        <v>13</v>
      </c>
      <c r="H1337" s="44" t="s">
        <v>1938</v>
      </c>
      <c r="I1337" s="16" t="s">
        <v>83</v>
      </c>
    </row>
    <row r="1338" spans="1:9" ht="15.75" x14ac:dyDescent="0.25">
      <c r="A1338" s="44" t="s">
        <v>1837</v>
      </c>
      <c r="B1338" s="49">
        <v>46044</v>
      </c>
      <c r="C1338" s="44" t="s">
        <v>1939</v>
      </c>
      <c r="D1338" s="44" t="s">
        <v>14</v>
      </c>
      <c r="E1338" s="44" t="s">
        <v>11</v>
      </c>
      <c r="F1338" s="48">
        <v>258.62068965517244</v>
      </c>
      <c r="G1338" s="44" t="s">
        <v>15</v>
      </c>
      <c r="H1338" s="44"/>
      <c r="I1338" s="16" t="s">
        <v>83</v>
      </c>
    </row>
    <row r="1339" spans="1:9" ht="15.75" x14ac:dyDescent="0.25">
      <c r="A1339" s="44" t="s">
        <v>1837</v>
      </c>
      <c r="B1339" s="49">
        <v>46044</v>
      </c>
      <c r="C1339" s="44" t="s">
        <v>1940</v>
      </c>
      <c r="D1339" s="44" t="s">
        <v>1941</v>
      </c>
      <c r="E1339" s="44" t="s">
        <v>10</v>
      </c>
      <c r="F1339" s="48">
        <v>1896.5517241379312</v>
      </c>
      <c r="G1339" s="44" t="s">
        <v>15</v>
      </c>
      <c r="H1339" s="44"/>
      <c r="I1339" s="16" t="s">
        <v>83</v>
      </c>
    </row>
    <row r="1340" spans="1:9" ht="15.75" x14ac:dyDescent="0.25">
      <c r="A1340" s="44" t="s">
        <v>1837</v>
      </c>
      <c r="B1340" s="49">
        <v>46044</v>
      </c>
      <c r="C1340" s="44" t="s">
        <v>1942</v>
      </c>
      <c r="D1340" s="44" t="s">
        <v>1943</v>
      </c>
      <c r="E1340" s="44" t="s">
        <v>10</v>
      </c>
      <c r="F1340" s="48">
        <v>818.96551724137942</v>
      </c>
      <c r="G1340" s="44" t="s">
        <v>948</v>
      </c>
      <c r="H1340" s="44"/>
      <c r="I1340" s="16" t="s">
        <v>83</v>
      </c>
    </row>
    <row r="1341" spans="1:9" ht="15.75" x14ac:dyDescent="0.25">
      <c r="A1341" s="44" t="s">
        <v>1837</v>
      </c>
      <c r="B1341" s="49">
        <v>46045</v>
      </c>
      <c r="C1341" s="44" t="s">
        <v>1944</v>
      </c>
      <c r="D1341" s="44" t="s">
        <v>236</v>
      </c>
      <c r="E1341" s="44" t="s">
        <v>10</v>
      </c>
      <c r="F1341" s="48">
        <v>1508.6206896551726</v>
      </c>
      <c r="G1341" s="44" t="s">
        <v>948</v>
      </c>
      <c r="H1341" s="44"/>
      <c r="I1341" s="16" t="s">
        <v>83</v>
      </c>
    </row>
    <row r="1342" spans="1:9" ht="15.75" x14ac:dyDescent="0.25">
      <c r="A1342" s="44" t="s">
        <v>1837</v>
      </c>
      <c r="B1342" s="49">
        <v>46045</v>
      </c>
      <c r="C1342" s="44" t="s">
        <v>1813</v>
      </c>
      <c r="D1342" s="44" t="s">
        <v>1945</v>
      </c>
      <c r="E1342" s="44" t="s">
        <v>27</v>
      </c>
      <c r="F1342" s="48">
        <v>3643.3965517241381</v>
      </c>
      <c r="G1342" s="44" t="s">
        <v>47</v>
      </c>
      <c r="H1342" s="44"/>
      <c r="I1342" s="16" t="s">
        <v>83</v>
      </c>
    </row>
    <row r="1343" spans="1:9" ht="15.75" x14ac:dyDescent="0.25">
      <c r="A1343" s="44" t="s">
        <v>1837</v>
      </c>
      <c r="B1343" s="49">
        <v>46045</v>
      </c>
      <c r="C1343" s="44" t="s">
        <v>1946</v>
      </c>
      <c r="D1343" s="44" t="s">
        <v>1947</v>
      </c>
      <c r="E1343" s="44" t="s">
        <v>27</v>
      </c>
      <c r="F1343" s="48">
        <v>3000</v>
      </c>
      <c r="G1343" s="44" t="s">
        <v>49</v>
      </c>
      <c r="H1343" s="44"/>
      <c r="I1343" s="16" t="s">
        <v>83</v>
      </c>
    </row>
    <row r="1344" spans="1:9" ht="15.75" x14ac:dyDescent="0.25">
      <c r="A1344" s="44" t="s">
        <v>1837</v>
      </c>
      <c r="B1344" s="49">
        <v>46046</v>
      </c>
      <c r="C1344" s="44" t="s">
        <v>1948</v>
      </c>
      <c r="D1344" s="44" t="s">
        <v>1949</v>
      </c>
      <c r="E1344" s="44" t="s">
        <v>16</v>
      </c>
      <c r="F1344" s="48">
        <v>2718.0000000000005</v>
      </c>
      <c r="G1344" s="44" t="s">
        <v>15</v>
      </c>
      <c r="H1344" s="44"/>
      <c r="I1344" s="16" t="s">
        <v>83</v>
      </c>
    </row>
    <row r="1345" spans="1:9" ht="15.75" x14ac:dyDescent="0.25">
      <c r="A1345" s="44" t="s">
        <v>1837</v>
      </c>
      <c r="B1345" s="49">
        <v>46046</v>
      </c>
      <c r="C1345" s="44" t="s">
        <v>1950</v>
      </c>
      <c r="D1345" s="44" t="s">
        <v>1951</v>
      </c>
      <c r="E1345" s="44" t="s">
        <v>16</v>
      </c>
      <c r="F1345" s="48">
        <v>5818.1034482758623</v>
      </c>
      <c r="G1345" s="44" t="s">
        <v>15</v>
      </c>
      <c r="H1345" s="44"/>
      <c r="I1345" s="16" t="s">
        <v>83</v>
      </c>
    </row>
    <row r="1346" spans="1:9" ht="15.75" x14ac:dyDescent="0.25">
      <c r="A1346" s="44" t="s">
        <v>1837</v>
      </c>
      <c r="B1346" s="49">
        <v>46048</v>
      </c>
      <c r="C1346" s="44" t="s">
        <v>1952</v>
      </c>
      <c r="D1346" s="44" t="s">
        <v>1953</v>
      </c>
      <c r="E1346" s="44" t="s">
        <v>23</v>
      </c>
      <c r="F1346" s="48">
        <v>25200</v>
      </c>
      <c r="G1346" s="44" t="s">
        <v>968</v>
      </c>
      <c r="H1346" s="44" t="s">
        <v>39</v>
      </c>
      <c r="I1346" s="16" t="s">
        <v>83</v>
      </c>
    </row>
    <row r="1347" spans="1:9" ht="15.75" x14ac:dyDescent="0.25">
      <c r="A1347" s="44" t="s">
        <v>1837</v>
      </c>
      <c r="B1347" s="49">
        <v>46048</v>
      </c>
      <c r="C1347" s="44" t="s">
        <v>1954</v>
      </c>
      <c r="D1347" s="44" t="s">
        <v>1430</v>
      </c>
      <c r="E1347" s="44" t="s">
        <v>10</v>
      </c>
      <c r="F1347" s="48">
        <v>250.00000000000003</v>
      </c>
      <c r="G1347" s="44" t="s">
        <v>968</v>
      </c>
      <c r="H1347" s="44"/>
      <c r="I1347" s="16" t="s">
        <v>83</v>
      </c>
    </row>
    <row r="1348" spans="1:9" ht="15.75" x14ac:dyDescent="0.25">
      <c r="A1348" s="44" t="s">
        <v>1837</v>
      </c>
      <c r="B1348" s="49">
        <v>46048</v>
      </c>
      <c r="C1348" s="44" t="s">
        <v>1955</v>
      </c>
      <c r="D1348" s="44" t="s">
        <v>14</v>
      </c>
      <c r="E1348" s="44" t="s">
        <v>20</v>
      </c>
      <c r="F1348" s="48">
        <v>3189.6551724137935</v>
      </c>
      <c r="G1348" s="44" t="s">
        <v>948</v>
      </c>
      <c r="H1348" s="44"/>
      <c r="I1348" s="16" t="s">
        <v>83</v>
      </c>
    </row>
    <row r="1349" spans="1:9" ht="15.75" x14ac:dyDescent="0.25">
      <c r="A1349" s="44" t="s">
        <v>1837</v>
      </c>
      <c r="B1349" s="49">
        <v>46049</v>
      </c>
      <c r="C1349" s="44" t="s">
        <v>1956</v>
      </c>
      <c r="D1349" s="44" t="s">
        <v>22</v>
      </c>
      <c r="E1349" s="44" t="s">
        <v>10</v>
      </c>
      <c r="F1349" s="48">
        <v>900.00000000000011</v>
      </c>
      <c r="G1349" s="44" t="s">
        <v>956</v>
      </c>
      <c r="H1349" s="44"/>
      <c r="I1349" s="16" t="s">
        <v>83</v>
      </c>
    </row>
    <row r="1350" spans="1:9" ht="15.75" x14ac:dyDescent="0.25">
      <c r="A1350" s="44" t="s">
        <v>1837</v>
      </c>
      <c r="B1350" s="49">
        <v>46049</v>
      </c>
      <c r="C1350" s="44" t="s">
        <v>1815</v>
      </c>
      <c r="D1350" s="44" t="s">
        <v>22</v>
      </c>
      <c r="E1350" s="44" t="s">
        <v>18</v>
      </c>
      <c r="F1350" s="48">
        <v>1800.0000000000002</v>
      </c>
      <c r="G1350" s="44" t="s">
        <v>956</v>
      </c>
      <c r="H1350" s="44"/>
      <c r="I1350" s="16" t="s">
        <v>83</v>
      </c>
    </row>
    <row r="1351" spans="1:9" ht="15.75" x14ac:dyDescent="0.25">
      <c r="A1351" s="44" t="s">
        <v>1837</v>
      </c>
      <c r="B1351" s="49">
        <v>46049</v>
      </c>
      <c r="C1351" s="44" t="s">
        <v>1957</v>
      </c>
      <c r="D1351" s="44" t="s">
        <v>22</v>
      </c>
      <c r="E1351" s="44"/>
      <c r="F1351" s="48">
        <v>0</v>
      </c>
      <c r="G1351" s="44"/>
      <c r="H1351" s="44"/>
      <c r="I1351" s="16" t="s">
        <v>83</v>
      </c>
    </row>
    <row r="1352" spans="1:9" ht="15.75" x14ac:dyDescent="0.25">
      <c r="A1352" s="44" t="s">
        <v>1837</v>
      </c>
      <c r="B1352" s="49">
        <v>46049</v>
      </c>
      <c r="C1352" s="44" t="s">
        <v>1958</v>
      </c>
      <c r="D1352" s="44" t="s">
        <v>14</v>
      </c>
      <c r="E1352" s="44" t="s">
        <v>10</v>
      </c>
      <c r="F1352" s="48">
        <v>25.862068965517242</v>
      </c>
      <c r="G1352" s="44" t="s">
        <v>948</v>
      </c>
      <c r="H1352" s="44"/>
      <c r="I1352" s="16" t="s">
        <v>83</v>
      </c>
    </row>
    <row r="1353" spans="1:9" ht="15.75" x14ac:dyDescent="0.25">
      <c r="A1353" s="44" t="s">
        <v>1837</v>
      </c>
      <c r="B1353" s="49">
        <v>46049</v>
      </c>
      <c r="C1353" s="44" t="s">
        <v>1959</v>
      </c>
      <c r="D1353" s="44" t="s">
        <v>1960</v>
      </c>
      <c r="E1353" s="44" t="s">
        <v>10</v>
      </c>
      <c r="F1353" s="48">
        <v>2370.6896551724139</v>
      </c>
      <c r="G1353" s="44" t="s">
        <v>948</v>
      </c>
      <c r="H1353" s="44"/>
      <c r="I1353" s="16" t="s">
        <v>83</v>
      </c>
    </row>
    <row r="1354" spans="1:9" ht="15.75" x14ac:dyDescent="0.25">
      <c r="A1354" s="44" t="s">
        <v>1837</v>
      </c>
      <c r="B1354" s="49">
        <v>46049</v>
      </c>
      <c r="C1354" s="44" t="s">
        <v>1961</v>
      </c>
      <c r="D1354" s="44" t="s">
        <v>1962</v>
      </c>
      <c r="E1354" s="44" t="s">
        <v>16</v>
      </c>
      <c r="F1354" s="48">
        <v>2289</v>
      </c>
      <c r="G1354" s="44" t="s">
        <v>15</v>
      </c>
      <c r="H1354" s="44"/>
      <c r="I1354" s="16" t="s">
        <v>83</v>
      </c>
    </row>
    <row r="1355" spans="1:9" ht="15.75" x14ac:dyDescent="0.25">
      <c r="A1355" s="44" t="s">
        <v>1837</v>
      </c>
      <c r="B1355" s="49">
        <v>46049</v>
      </c>
      <c r="C1355" s="44" t="s">
        <v>1963</v>
      </c>
      <c r="D1355" s="44" t="s">
        <v>14</v>
      </c>
      <c r="E1355" s="44" t="s">
        <v>10</v>
      </c>
      <c r="F1355" s="48">
        <v>25.862068965517242</v>
      </c>
      <c r="G1355" s="44" t="s">
        <v>948</v>
      </c>
      <c r="H1355" s="44"/>
      <c r="I1355" s="16" t="s">
        <v>83</v>
      </c>
    </row>
    <row r="1356" spans="1:9" ht="15.75" x14ac:dyDescent="0.25">
      <c r="A1356" s="44" t="s">
        <v>1837</v>
      </c>
      <c r="B1356" s="49">
        <v>46050</v>
      </c>
      <c r="C1356" s="44" t="s">
        <v>1964</v>
      </c>
      <c r="D1356" s="44" t="s">
        <v>1965</v>
      </c>
      <c r="E1356" s="44" t="s">
        <v>10</v>
      </c>
      <c r="F1356" s="48">
        <v>1465.5172413793105</v>
      </c>
      <c r="G1356" s="44" t="s">
        <v>948</v>
      </c>
      <c r="H1356" s="44"/>
      <c r="I1356" s="16" t="s">
        <v>83</v>
      </c>
    </row>
    <row r="1357" spans="1:9" ht="15.75" x14ac:dyDescent="0.25">
      <c r="A1357" s="44" t="s">
        <v>1837</v>
      </c>
      <c r="B1357" s="49">
        <v>46050</v>
      </c>
      <c r="C1357" s="44" t="s">
        <v>1966</v>
      </c>
      <c r="D1357" s="44" t="s">
        <v>1967</v>
      </c>
      <c r="E1357" s="44" t="s">
        <v>16</v>
      </c>
      <c r="F1357" s="48">
        <v>3423</v>
      </c>
      <c r="G1357" s="44" t="s">
        <v>15</v>
      </c>
      <c r="H1357" s="44"/>
      <c r="I1357" s="16" t="s">
        <v>83</v>
      </c>
    </row>
    <row r="1358" spans="1:9" ht="15.75" x14ac:dyDescent="0.25">
      <c r="A1358" s="44" t="s">
        <v>1837</v>
      </c>
      <c r="B1358" s="49">
        <v>46051</v>
      </c>
      <c r="C1358" s="44" t="s">
        <v>1968</v>
      </c>
      <c r="D1358" s="44" t="s">
        <v>1969</v>
      </c>
      <c r="E1358" s="44" t="s">
        <v>10</v>
      </c>
      <c r="F1358" s="48">
        <v>560.34482758620697</v>
      </c>
      <c r="G1358" s="44" t="s">
        <v>948</v>
      </c>
      <c r="H1358" s="44"/>
      <c r="I1358" s="16" t="s">
        <v>83</v>
      </c>
    </row>
    <row r="1359" spans="1:9" ht="15.75" x14ac:dyDescent="0.25">
      <c r="A1359" s="44" t="s">
        <v>1837</v>
      </c>
      <c r="B1359" s="49">
        <v>46051</v>
      </c>
      <c r="C1359" s="44" t="s">
        <v>1970</v>
      </c>
      <c r="D1359" s="44" t="s">
        <v>14</v>
      </c>
      <c r="E1359" s="44" t="s">
        <v>16</v>
      </c>
      <c r="F1359" s="48">
        <v>1895</v>
      </c>
      <c r="G1359" s="44" t="s">
        <v>15</v>
      </c>
      <c r="H1359" s="44"/>
      <c r="I1359" s="16" t="s">
        <v>83</v>
      </c>
    </row>
    <row r="1360" spans="1:9" ht="15.75" x14ac:dyDescent="0.25">
      <c r="A1360" s="44" t="s">
        <v>1837</v>
      </c>
      <c r="B1360" s="49">
        <v>46051</v>
      </c>
      <c r="C1360" s="44" t="s">
        <v>1971</v>
      </c>
      <c r="D1360" s="44" t="s">
        <v>1972</v>
      </c>
      <c r="E1360" s="44" t="s">
        <v>16</v>
      </c>
      <c r="F1360" s="48">
        <v>2550</v>
      </c>
      <c r="G1360" s="44" t="s">
        <v>15</v>
      </c>
      <c r="H1360" s="44"/>
      <c r="I1360" s="16" t="s">
        <v>83</v>
      </c>
    </row>
    <row r="1361" spans="1:9" ht="15.75" x14ac:dyDescent="0.25">
      <c r="A1361" s="44" t="s">
        <v>1837</v>
      </c>
      <c r="B1361" s="49">
        <v>46052</v>
      </c>
      <c r="C1361" s="44" t="s">
        <v>1973</v>
      </c>
      <c r="D1361" s="44" t="s">
        <v>1974</v>
      </c>
      <c r="E1361" s="44" t="s">
        <v>27</v>
      </c>
      <c r="F1361" s="48">
        <v>258.62068965517244</v>
      </c>
      <c r="G1361" s="44" t="s">
        <v>15</v>
      </c>
      <c r="H1361" s="44"/>
      <c r="I1361" s="16" t="s">
        <v>83</v>
      </c>
    </row>
    <row r="1362" spans="1:9" ht="15.75" x14ac:dyDescent="0.25">
      <c r="A1362" s="44" t="s">
        <v>1837</v>
      </c>
      <c r="B1362" s="49">
        <v>46052</v>
      </c>
      <c r="C1362" s="44" t="s">
        <v>1975</v>
      </c>
      <c r="D1362" s="44" t="s">
        <v>1974</v>
      </c>
      <c r="E1362" s="44" t="s">
        <v>16</v>
      </c>
      <c r="F1362" s="48">
        <v>1286.3793103448277</v>
      </c>
      <c r="G1362" s="44" t="s">
        <v>15</v>
      </c>
      <c r="H1362" s="44"/>
      <c r="I1362" s="16" t="s">
        <v>83</v>
      </c>
    </row>
    <row r="1363" spans="1:9" ht="15.75" x14ac:dyDescent="0.25">
      <c r="A1363" s="44" t="s">
        <v>1837</v>
      </c>
      <c r="B1363" s="49">
        <v>46052</v>
      </c>
      <c r="C1363" s="44" t="s">
        <v>1976</v>
      </c>
      <c r="D1363" s="44" t="s">
        <v>1974</v>
      </c>
      <c r="E1363" s="44" t="s">
        <v>18</v>
      </c>
      <c r="F1363" s="48">
        <v>1063</v>
      </c>
      <c r="G1363" s="44" t="s">
        <v>15</v>
      </c>
      <c r="H1363" s="44"/>
      <c r="I1363" s="16" t="s">
        <v>83</v>
      </c>
    </row>
    <row r="1364" spans="1:9" ht="15.75" x14ac:dyDescent="0.25">
      <c r="A1364" s="44" t="s">
        <v>1837</v>
      </c>
      <c r="B1364" s="49">
        <v>46052</v>
      </c>
      <c r="C1364" s="44" t="s">
        <v>1977</v>
      </c>
      <c r="D1364" s="44" t="s">
        <v>14</v>
      </c>
      <c r="E1364" s="44" t="s">
        <v>10</v>
      </c>
      <c r="F1364" s="48">
        <v>301.72413793103448</v>
      </c>
      <c r="G1364" s="44" t="s">
        <v>948</v>
      </c>
      <c r="H1364" s="44"/>
      <c r="I1364" s="16" t="s">
        <v>83</v>
      </c>
    </row>
    <row r="1365" spans="1:9" ht="15.75" x14ac:dyDescent="0.25">
      <c r="A1365" s="44" t="s">
        <v>1837</v>
      </c>
      <c r="B1365" s="49">
        <v>46052</v>
      </c>
      <c r="C1365" s="44" t="s">
        <v>1978</v>
      </c>
      <c r="D1365" s="44" t="s">
        <v>14</v>
      </c>
      <c r="E1365" s="44" t="s">
        <v>10</v>
      </c>
      <c r="F1365" s="48">
        <v>7887.9310344827591</v>
      </c>
      <c r="G1365" s="44" t="s">
        <v>948</v>
      </c>
      <c r="H1365" s="44"/>
      <c r="I1365" s="16" t="s">
        <v>83</v>
      </c>
    </row>
    <row r="1366" spans="1:9" ht="15.75" x14ac:dyDescent="0.25">
      <c r="A1366" s="44" t="s">
        <v>1837</v>
      </c>
      <c r="B1366" s="49">
        <v>46052</v>
      </c>
      <c r="C1366" s="44" t="s">
        <v>1979</v>
      </c>
      <c r="D1366" s="44" t="s">
        <v>123</v>
      </c>
      <c r="E1366" s="44" t="s">
        <v>16</v>
      </c>
      <c r="F1366" s="48">
        <v>12367</v>
      </c>
      <c r="G1366" s="44" t="s">
        <v>13</v>
      </c>
      <c r="H1366" s="44"/>
      <c r="I1366" s="16" t="s">
        <v>83</v>
      </c>
    </row>
    <row r="1367" spans="1:9" ht="15.75" x14ac:dyDescent="0.25">
      <c r="A1367" s="44" t="s">
        <v>1837</v>
      </c>
      <c r="B1367" s="49">
        <v>46052</v>
      </c>
      <c r="C1367" s="44" t="s">
        <v>1980</v>
      </c>
      <c r="D1367" s="44" t="s">
        <v>1981</v>
      </c>
      <c r="E1367" s="44" t="s">
        <v>16</v>
      </c>
      <c r="F1367" s="48">
        <v>6365</v>
      </c>
      <c r="G1367" s="44" t="s">
        <v>15</v>
      </c>
      <c r="H1367" s="44"/>
      <c r="I1367" s="16" t="s">
        <v>83</v>
      </c>
    </row>
    <row r="1368" spans="1:9" ht="15.75" x14ac:dyDescent="0.25">
      <c r="A1368" s="44" t="s">
        <v>1837</v>
      </c>
      <c r="B1368" s="49">
        <v>46053</v>
      </c>
      <c r="C1368" s="44" t="s">
        <v>1982</v>
      </c>
      <c r="D1368" s="44" t="s">
        <v>1983</v>
      </c>
      <c r="E1368" s="44" t="s">
        <v>16</v>
      </c>
      <c r="F1368" s="48">
        <v>2911.0000000000005</v>
      </c>
      <c r="G1368" s="44" t="s">
        <v>15</v>
      </c>
      <c r="H1368" s="44"/>
      <c r="I1368" s="16" t="s">
        <v>83</v>
      </c>
    </row>
    <row r="1369" spans="1:9" ht="15.75" x14ac:dyDescent="0.25">
      <c r="A1369" s="44" t="s">
        <v>1837</v>
      </c>
      <c r="B1369" s="49">
        <v>46053</v>
      </c>
      <c r="C1369" s="44" t="s">
        <v>1984</v>
      </c>
      <c r="D1369" s="44" t="s">
        <v>14</v>
      </c>
      <c r="E1369" s="44" t="s">
        <v>16</v>
      </c>
      <c r="F1369" s="48">
        <v>1273.0000000000002</v>
      </c>
      <c r="G1369" s="44" t="s">
        <v>15</v>
      </c>
      <c r="H1369" s="44"/>
      <c r="I1369" s="16" t="s">
        <v>83</v>
      </c>
    </row>
    <row r="1370" spans="1:9" ht="15.75" x14ac:dyDescent="0.25">
      <c r="A1370" s="44" t="s">
        <v>1837</v>
      </c>
      <c r="B1370" s="49">
        <v>46053</v>
      </c>
      <c r="C1370" s="44" t="s">
        <v>1985</v>
      </c>
      <c r="D1370" s="44" t="s">
        <v>14</v>
      </c>
      <c r="E1370" s="44" t="s">
        <v>16</v>
      </c>
      <c r="F1370" s="48">
        <v>2609</v>
      </c>
      <c r="G1370" s="44" t="s">
        <v>15</v>
      </c>
      <c r="H1370" s="44"/>
      <c r="I1370" s="16" t="s">
        <v>83</v>
      </c>
    </row>
    <row r="1371" spans="1:9" ht="15.75" x14ac:dyDescent="0.25">
      <c r="A1371" s="44" t="s">
        <v>1837</v>
      </c>
      <c r="B1371" s="49">
        <v>46053</v>
      </c>
      <c r="C1371" s="44" t="s">
        <v>1986</v>
      </c>
      <c r="D1371" s="44" t="s">
        <v>14</v>
      </c>
      <c r="E1371" s="44" t="s">
        <v>27</v>
      </c>
      <c r="F1371" s="48">
        <v>258.62068965517244</v>
      </c>
      <c r="G1371" s="44" t="s">
        <v>15</v>
      </c>
      <c r="H1371" s="44"/>
      <c r="I1371" s="16" t="s">
        <v>83</v>
      </c>
    </row>
    <row r="1372" spans="1:9" ht="15.75" x14ac:dyDescent="0.25">
      <c r="A1372" s="44" t="s">
        <v>1837</v>
      </c>
      <c r="B1372" s="49">
        <v>46053</v>
      </c>
      <c r="C1372" s="44" t="s">
        <v>1987</v>
      </c>
      <c r="D1372" s="44" t="s">
        <v>14</v>
      </c>
      <c r="E1372" s="44" t="s">
        <v>10</v>
      </c>
      <c r="F1372" s="48">
        <v>291.37931034482762</v>
      </c>
      <c r="G1372" s="44" t="s">
        <v>13</v>
      </c>
      <c r="H1372" s="44"/>
      <c r="I1372" s="16" t="s">
        <v>83</v>
      </c>
    </row>
    <row r="1373" spans="1:9" ht="15.75" x14ac:dyDescent="0.25">
      <c r="A1373" s="44" t="s">
        <v>1837</v>
      </c>
      <c r="B1373" s="49">
        <v>46056</v>
      </c>
      <c r="C1373" s="44" t="s">
        <v>1754</v>
      </c>
      <c r="D1373" s="44" t="s">
        <v>1988</v>
      </c>
      <c r="E1373" s="44" t="s">
        <v>10</v>
      </c>
      <c r="F1373" s="48">
        <v>469.82758620689657</v>
      </c>
      <c r="G1373" s="44" t="s">
        <v>8</v>
      </c>
      <c r="H1373" s="44"/>
      <c r="I1373" s="16" t="s">
        <v>83</v>
      </c>
    </row>
    <row r="1374" spans="1:9" ht="15.75" x14ac:dyDescent="0.25">
      <c r="A1374" s="44" t="s">
        <v>1837</v>
      </c>
      <c r="B1374" s="49">
        <v>46057</v>
      </c>
      <c r="C1374" s="44" t="s">
        <v>1755</v>
      </c>
      <c r="D1374" s="44" t="s">
        <v>14</v>
      </c>
      <c r="E1374" s="44" t="s">
        <v>10</v>
      </c>
      <c r="F1374" s="48">
        <v>324.16379310344826</v>
      </c>
      <c r="G1374" s="44" t="s">
        <v>8</v>
      </c>
      <c r="H1374" s="44"/>
      <c r="I1374" s="16" t="s">
        <v>83</v>
      </c>
    </row>
    <row r="1375" spans="1:9" ht="15.75" x14ac:dyDescent="0.25">
      <c r="A1375" s="44" t="s">
        <v>1837</v>
      </c>
      <c r="B1375" s="49">
        <v>46057</v>
      </c>
      <c r="C1375" s="44" t="s">
        <v>1756</v>
      </c>
      <c r="D1375" s="44" t="s">
        <v>14</v>
      </c>
      <c r="E1375" s="44" t="s">
        <v>10</v>
      </c>
      <c r="F1375" s="48">
        <v>688.79310344827593</v>
      </c>
      <c r="G1375" s="44" t="s">
        <v>8</v>
      </c>
      <c r="H1375" s="44"/>
      <c r="I1375" s="16" t="s">
        <v>83</v>
      </c>
    </row>
    <row r="1376" spans="1:9" ht="15.75" x14ac:dyDescent="0.25">
      <c r="A1376" s="44" t="s">
        <v>1837</v>
      </c>
      <c r="B1376" s="49">
        <v>46058</v>
      </c>
      <c r="C1376" s="44" t="s">
        <v>1757</v>
      </c>
      <c r="D1376" s="44" t="s">
        <v>376</v>
      </c>
      <c r="E1376" s="44" t="s">
        <v>27</v>
      </c>
      <c r="F1376" s="48">
        <v>258.62068965517244</v>
      </c>
      <c r="G1376" s="44" t="s">
        <v>15</v>
      </c>
      <c r="H1376" s="44"/>
      <c r="I1376" s="16" t="s">
        <v>83</v>
      </c>
    </row>
    <row r="1377" spans="1:9" ht="15.75" x14ac:dyDescent="0.25">
      <c r="A1377" s="44" t="s">
        <v>1837</v>
      </c>
      <c r="B1377" s="49">
        <v>46058</v>
      </c>
      <c r="C1377" s="44" t="s">
        <v>1758</v>
      </c>
      <c r="D1377" s="44" t="s">
        <v>376</v>
      </c>
      <c r="E1377" s="44" t="s">
        <v>16</v>
      </c>
      <c r="F1377" s="48">
        <v>2155.1724137931037</v>
      </c>
      <c r="G1377" s="44" t="s">
        <v>15</v>
      </c>
      <c r="H1377" s="44"/>
      <c r="I1377" s="16" t="s">
        <v>83</v>
      </c>
    </row>
    <row r="1378" spans="1:9" ht="15.75" x14ac:dyDescent="0.25">
      <c r="A1378" s="44" t="s">
        <v>1837</v>
      </c>
      <c r="B1378" s="49">
        <v>46058</v>
      </c>
      <c r="C1378" s="44" t="s">
        <v>1759</v>
      </c>
      <c r="D1378" s="44" t="s">
        <v>1239</v>
      </c>
      <c r="E1378" s="44" t="s">
        <v>10</v>
      </c>
      <c r="F1378" s="48">
        <v>6228</v>
      </c>
      <c r="G1378" s="44" t="s">
        <v>968</v>
      </c>
      <c r="H1378" s="44"/>
      <c r="I1378" s="16" t="s">
        <v>83</v>
      </c>
    </row>
    <row r="1379" spans="1:9" ht="15.75" x14ac:dyDescent="0.25">
      <c r="A1379" s="44" t="s">
        <v>1837</v>
      </c>
      <c r="B1379" s="49">
        <v>46058</v>
      </c>
      <c r="C1379" s="44" t="s">
        <v>1760</v>
      </c>
      <c r="D1379" s="44" t="s">
        <v>1239</v>
      </c>
      <c r="E1379" s="44" t="s">
        <v>10</v>
      </c>
      <c r="F1379" s="48">
        <v>1530</v>
      </c>
      <c r="G1379" s="44" t="s">
        <v>968</v>
      </c>
      <c r="H1379" s="44"/>
      <c r="I1379" s="16" t="s">
        <v>83</v>
      </c>
    </row>
    <row r="1380" spans="1:9" ht="15.75" x14ac:dyDescent="0.25">
      <c r="A1380" s="44" t="s">
        <v>1837</v>
      </c>
      <c r="B1380" s="49">
        <v>46058</v>
      </c>
      <c r="C1380" s="44" t="s">
        <v>1761</v>
      </c>
      <c r="D1380" s="44" t="s">
        <v>1989</v>
      </c>
      <c r="E1380" s="44" t="s">
        <v>10</v>
      </c>
      <c r="F1380" s="48">
        <v>5320</v>
      </c>
      <c r="G1380" s="44" t="s">
        <v>13</v>
      </c>
      <c r="H1380" s="44"/>
      <c r="I1380" s="16" t="s">
        <v>83</v>
      </c>
    </row>
    <row r="1381" spans="1:9" ht="15.75" x14ac:dyDescent="0.25">
      <c r="A1381" s="44" t="s">
        <v>1837</v>
      </c>
      <c r="B1381" s="49">
        <v>46060</v>
      </c>
      <c r="C1381" s="44" t="s">
        <v>1763</v>
      </c>
      <c r="D1381" s="44" t="s">
        <v>1379</v>
      </c>
      <c r="E1381" s="44" t="s">
        <v>16</v>
      </c>
      <c r="F1381" s="48">
        <v>1504.0000000000002</v>
      </c>
      <c r="G1381" s="44" t="s">
        <v>15</v>
      </c>
      <c r="H1381" s="44"/>
      <c r="I1381" s="16" t="s">
        <v>83</v>
      </c>
    </row>
    <row r="1382" spans="1:9" ht="15.75" x14ac:dyDescent="0.25">
      <c r="A1382" s="44" t="s">
        <v>1837</v>
      </c>
      <c r="B1382" s="49">
        <v>46060</v>
      </c>
      <c r="C1382" s="44" t="s">
        <v>1764</v>
      </c>
      <c r="D1382" s="44" t="s">
        <v>14</v>
      </c>
      <c r="E1382" s="44" t="s">
        <v>16</v>
      </c>
      <c r="F1382" s="48">
        <v>1873</v>
      </c>
      <c r="G1382" s="44" t="s">
        <v>15</v>
      </c>
      <c r="H1382" s="44"/>
      <c r="I1382" s="16" t="s">
        <v>83</v>
      </c>
    </row>
    <row r="1383" spans="1:9" ht="15.75" x14ac:dyDescent="0.25">
      <c r="A1383" s="44" t="s">
        <v>1837</v>
      </c>
      <c r="B1383" s="49">
        <v>46062</v>
      </c>
      <c r="C1383" s="44" t="s">
        <v>1765</v>
      </c>
      <c r="D1383" s="44" t="s">
        <v>22</v>
      </c>
      <c r="E1383" s="44" t="s">
        <v>10</v>
      </c>
      <c r="F1383" s="48">
        <v>5337</v>
      </c>
      <c r="G1383" s="44" t="s">
        <v>34</v>
      </c>
      <c r="H1383" s="44"/>
      <c r="I1383" s="16" t="s">
        <v>83</v>
      </c>
    </row>
    <row r="1384" spans="1:9" ht="15.75" x14ac:dyDescent="0.25">
      <c r="A1384" s="44" t="s">
        <v>1837</v>
      </c>
      <c r="B1384" s="49">
        <v>46062</v>
      </c>
      <c r="C1384" s="44" t="s">
        <v>1766</v>
      </c>
      <c r="D1384" s="44" t="s">
        <v>1176</v>
      </c>
      <c r="E1384" s="44" t="s">
        <v>643</v>
      </c>
      <c r="F1384" s="48">
        <v>4897.0000000000009</v>
      </c>
      <c r="G1384" s="44" t="s">
        <v>34</v>
      </c>
      <c r="H1384" s="44"/>
      <c r="I1384" s="16" t="s">
        <v>83</v>
      </c>
    </row>
    <row r="1385" spans="1:9" ht="15.75" x14ac:dyDescent="0.25">
      <c r="A1385" s="44" t="s">
        <v>1837</v>
      </c>
      <c r="B1385" s="49">
        <v>46062</v>
      </c>
      <c r="C1385" s="44" t="s">
        <v>1767</v>
      </c>
      <c r="D1385" s="44" t="s">
        <v>1176</v>
      </c>
      <c r="E1385" s="44" t="s">
        <v>643</v>
      </c>
      <c r="F1385" s="48">
        <v>5368.0000000000009</v>
      </c>
      <c r="G1385" s="44" t="s">
        <v>34</v>
      </c>
      <c r="H1385" s="44"/>
      <c r="I1385" s="16" t="s">
        <v>83</v>
      </c>
    </row>
    <row r="1386" spans="1:9" ht="15.75" x14ac:dyDescent="0.25">
      <c r="A1386" s="44" t="s">
        <v>1837</v>
      </c>
      <c r="B1386" s="49">
        <v>46062</v>
      </c>
      <c r="C1386" s="44" t="s">
        <v>1768</v>
      </c>
      <c r="D1386" s="44" t="s">
        <v>1176</v>
      </c>
      <c r="E1386" s="44" t="s">
        <v>11</v>
      </c>
      <c r="F1386" s="48">
        <v>2000.0000000000002</v>
      </c>
      <c r="G1386" s="44" t="s">
        <v>34</v>
      </c>
      <c r="H1386" s="44"/>
      <c r="I1386" s="16" t="s">
        <v>83</v>
      </c>
    </row>
    <row r="1387" spans="1:9" ht="15.75" x14ac:dyDescent="0.25">
      <c r="A1387" s="44" t="s">
        <v>1837</v>
      </c>
      <c r="B1387" s="49">
        <v>46062</v>
      </c>
      <c r="C1387" s="44" t="s">
        <v>1770</v>
      </c>
      <c r="D1387" s="44" t="s">
        <v>1176</v>
      </c>
      <c r="E1387" s="44" t="s">
        <v>1990</v>
      </c>
      <c r="F1387" s="48">
        <v>1600</v>
      </c>
      <c r="G1387" s="44" t="s">
        <v>34</v>
      </c>
      <c r="H1387" s="44"/>
      <c r="I1387" s="16" t="s">
        <v>83</v>
      </c>
    </row>
    <row r="1388" spans="1:9" ht="15.75" x14ac:dyDescent="0.25">
      <c r="A1388" s="44" t="s">
        <v>1837</v>
      </c>
      <c r="B1388" s="49">
        <v>46062</v>
      </c>
      <c r="C1388" s="44" t="s">
        <v>1772</v>
      </c>
      <c r="D1388" s="44" t="s">
        <v>14</v>
      </c>
      <c r="E1388" s="44" t="s">
        <v>10</v>
      </c>
      <c r="F1388" s="48">
        <v>810.35344827586209</v>
      </c>
      <c r="G1388" s="44" t="s">
        <v>8</v>
      </c>
      <c r="H1388" s="44"/>
      <c r="I1388" s="16" t="s">
        <v>83</v>
      </c>
    </row>
    <row r="1389" spans="1:9" ht="15.75" x14ac:dyDescent="0.25">
      <c r="A1389" s="44" t="s">
        <v>1837</v>
      </c>
      <c r="B1389" s="49">
        <v>46063</v>
      </c>
      <c r="C1389" s="44" t="s">
        <v>1773</v>
      </c>
      <c r="D1389" s="44" t="s">
        <v>1819</v>
      </c>
      <c r="E1389" s="44" t="s">
        <v>27</v>
      </c>
      <c r="F1389" s="48">
        <v>2726</v>
      </c>
      <c r="G1389" s="44" t="s">
        <v>968</v>
      </c>
      <c r="H1389" s="44"/>
      <c r="I1389" s="16" t="s">
        <v>83</v>
      </c>
    </row>
    <row r="1390" spans="1:9" ht="15.75" x14ac:dyDescent="0.25">
      <c r="A1390" s="44" t="s">
        <v>1837</v>
      </c>
      <c r="B1390" s="49">
        <v>46063</v>
      </c>
      <c r="C1390" s="44" t="s">
        <v>1775</v>
      </c>
      <c r="D1390" s="44" t="s">
        <v>14</v>
      </c>
      <c r="E1390" s="44" t="s">
        <v>18</v>
      </c>
      <c r="F1390" s="48">
        <v>34.482758620689658</v>
      </c>
      <c r="G1390" s="44" t="s">
        <v>8</v>
      </c>
      <c r="H1390" s="44"/>
      <c r="I1390" s="16" t="s">
        <v>83</v>
      </c>
    </row>
    <row r="1391" spans="1:9" ht="15.75" x14ac:dyDescent="0.25">
      <c r="A1391" s="44" t="s">
        <v>1837</v>
      </c>
      <c r="B1391" s="49">
        <v>46063</v>
      </c>
      <c r="C1391" s="44" t="s">
        <v>1778</v>
      </c>
      <c r="D1391" s="44" t="s">
        <v>14</v>
      </c>
      <c r="E1391" s="44" t="s">
        <v>10</v>
      </c>
      <c r="F1391" s="48">
        <v>172.41379310344828</v>
      </c>
      <c r="G1391" s="44" t="s">
        <v>8</v>
      </c>
      <c r="H1391" s="44"/>
      <c r="I1391" s="16" t="s">
        <v>83</v>
      </c>
    </row>
    <row r="1392" spans="1:9" ht="15.75" x14ac:dyDescent="0.25">
      <c r="A1392" s="44" t="s">
        <v>1837</v>
      </c>
      <c r="B1392" s="49">
        <v>46063</v>
      </c>
      <c r="C1392" s="44" t="s">
        <v>1779</v>
      </c>
      <c r="D1392" s="44" t="s">
        <v>14</v>
      </c>
      <c r="E1392" s="44" t="s">
        <v>16</v>
      </c>
      <c r="F1392" s="48">
        <v>1902.0000000000002</v>
      </c>
      <c r="G1392" s="44" t="s">
        <v>15</v>
      </c>
      <c r="H1392" s="44"/>
      <c r="I1392" s="16" t="s">
        <v>83</v>
      </c>
    </row>
    <row r="1393" spans="1:9" ht="15.75" x14ac:dyDescent="0.25">
      <c r="A1393" s="44" t="s">
        <v>1837</v>
      </c>
      <c r="B1393" s="49">
        <v>46065</v>
      </c>
      <c r="C1393" s="44" t="s">
        <v>1782</v>
      </c>
      <c r="D1393" s="44" t="s">
        <v>22</v>
      </c>
      <c r="E1393" s="44"/>
      <c r="F1393" s="48">
        <v>0</v>
      </c>
      <c r="G1393" s="44"/>
      <c r="H1393" s="44"/>
      <c r="I1393" s="16" t="s">
        <v>83</v>
      </c>
    </row>
    <row r="1394" spans="1:9" ht="15.75" x14ac:dyDescent="0.25">
      <c r="A1394" s="44" t="s">
        <v>1837</v>
      </c>
      <c r="B1394" s="49">
        <v>46066</v>
      </c>
      <c r="C1394" s="44" t="s">
        <v>1784</v>
      </c>
      <c r="D1394" s="44" t="s">
        <v>14</v>
      </c>
      <c r="E1394" s="44" t="s">
        <v>11</v>
      </c>
      <c r="F1394" s="48">
        <v>258.62068965517244</v>
      </c>
      <c r="G1394" s="44" t="s">
        <v>15</v>
      </c>
      <c r="H1394" s="44"/>
      <c r="I1394" s="16" t="s">
        <v>83</v>
      </c>
    </row>
    <row r="1395" spans="1:9" ht="15.75" x14ac:dyDescent="0.25">
      <c r="A1395" s="44" t="s">
        <v>1837</v>
      </c>
      <c r="B1395" s="49">
        <v>46066</v>
      </c>
      <c r="C1395" s="44" t="s">
        <v>1785</v>
      </c>
      <c r="D1395" s="44" t="s">
        <v>14</v>
      </c>
      <c r="E1395" s="44" t="s">
        <v>20</v>
      </c>
      <c r="F1395" s="48">
        <v>4137.9310344827591</v>
      </c>
      <c r="G1395" s="44" t="s">
        <v>8</v>
      </c>
      <c r="H1395" s="44" t="s">
        <v>1991</v>
      </c>
      <c r="I1395" s="16" t="s">
        <v>83</v>
      </c>
    </row>
    <row r="1396" spans="1:9" ht="15.75" x14ac:dyDescent="0.25">
      <c r="A1396" s="44" t="s">
        <v>1837</v>
      </c>
      <c r="B1396" s="49">
        <v>46066</v>
      </c>
      <c r="C1396" s="44" t="s">
        <v>1786</v>
      </c>
      <c r="D1396" s="44" t="s">
        <v>14</v>
      </c>
      <c r="E1396" s="44" t="s">
        <v>16</v>
      </c>
      <c r="F1396" s="48">
        <v>1317.0000000000002</v>
      </c>
      <c r="G1396" s="44" t="s">
        <v>15</v>
      </c>
      <c r="H1396" s="44"/>
      <c r="I1396" s="16" t="s">
        <v>83</v>
      </c>
    </row>
    <row r="1397" spans="1:9" ht="15.75" x14ac:dyDescent="0.25">
      <c r="A1397" s="44" t="s">
        <v>1837</v>
      </c>
      <c r="B1397" s="49">
        <v>46066</v>
      </c>
      <c r="C1397" s="44" t="s">
        <v>1788</v>
      </c>
      <c r="D1397" s="44" t="s">
        <v>14</v>
      </c>
      <c r="E1397" s="44" t="s">
        <v>16</v>
      </c>
      <c r="F1397" s="48">
        <v>1121</v>
      </c>
      <c r="G1397" s="44" t="s">
        <v>15</v>
      </c>
      <c r="H1397" s="44"/>
      <c r="I1397" s="16" t="s">
        <v>83</v>
      </c>
    </row>
    <row r="1398" spans="1:9" ht="15.75" x14ac:dyDescent="0.25">
      <c r="A1398" s="44" t="s">
        <v>1837</v>
      </c>
      <c r="B1398" s="49">
        <v>46066</v>
      </c>
      <c r="C1398" s="44" t="s">
        <v>1789</v>
      </c>
      <c r="D1398" s="44" t="s">
        <v>1992</v>
      </c>
      <c r="E1398" s="44" t="s">
        <v>10</v>
      </c>
      <c r="F1398" s="48">
        <v>10200</v>
      </c>
      <c r="G1398" s="44" t="s">
        <v>49</v>
      </c>
      <c r="H1398" s="44"/>
      <c r="I1398" s="16" t="s">
        <v>83</v>
      </c>
    </row>
    <row r="1399" spans="1:9" ht="15.75" x14ac:dyDescent="0.25">
      <c r="A1399" s="44" t="s">
        <v>1837</v>
      </c>
      <c r="B1399" s="49">
        <v>46066</v>
      </c>
      <c r="C1399" s="44" t="s">
        <v>1790</v>
      </c>
      <c r="D1399" s="44" t="s">
        <v>1993</v>
      </c>
      <c r="E1399" s="44" t="s">
        <v>20</v>
      </c>
      <c r="F1399" s="48">
        <v>10947.413793103449</v>
      </c>
      <c r="G1399" s="44" t="s">
        <v>968</v>
      </c>
      <c r="H1399" s="44" t="s">
        <v>1994</v>
      </c>
      <c r="I1399" s="16" t="s">
        <v>83</v>
      </c>
    </row>
    <row r="1400" spans="1:9" ht="15.75" x14ac:dyDescent="0.25">
      <c r="A1400" s="44" t="s">
        <v>1837</v>
      </c>
      <c r="B1400" s="49">
        <v>46069</v>
      </c>
      <c r="C1400" s="44" t="s">
        <v>1791</v>
      </c>
      <c r="D1400" s="44" t="s">
        <v>1995</v>
      </c>
      <c r="E1400" s="44" t="s">
        <v>10</v>
      </c>
      <c r="F1400" s="48">
        <v>6590</v>
      </c>
      <c r="G1400" s="44" t="s">
        <v>968</v>
      </c>
      <c r="H1400" s="44"/>
      <c r="I1400" s="16" t="s">
        <v>83</v>
      </c>
    </row>
    <row r="1401" spans="1:9" ht="15.75" x14ac:dyDescent="0.25">
      <c r="A1401" s="44" t="s">
        <v>1837</v>
      </c>
      <c r="B1401" s="49">
        <v>46069</v>
      </c>
      <c r="C1401" s="44" t="s">
        <v>1792</v>
      </c>
      <c r="D1401" s="44" t="s">
        <v>1996</v>
      </c>
      <c r="E1401" s="44" t="s">
        <v>10</v>
      </c>
      <c r="F1401" s="48">
        <v>1300</v>
      </c>
      <c r="G1401" s="44" t="s">
        <v>968</v>
      </c>
      <c r="H1401" s="44"/>
      <c r="I1401" s="16" t="s">
        <v>83</v>
      </c>
    </row>
    <row r="1402" spans="1:9" ht="15.75" x14ac:dyDescent="0.25">
      <c r="A1402" s="44" t="s">
        <v>1837</v>
      </c>
      <c r="B1402" s="49">
        <v>46069</v>
      </c>
      <c r="C1402" s="44" t="s">
        <v>1794</v>
      </c>
      <c r="D1402" s="44" t="s">
        <v>1521</v>
      </c>
      <c r="E1402" s="44" t="s">
        <v>23</v>
      </c>
      <c r="F1402" s="48">
        <v>17160</v>
      </c>
      <c r="G1402" s="44" t="s">
        <v>13</v>
      </c>
      <c r="H1402" s="44" t="s">
        <v>51</v>
      </c>
      <c r="I1402" s="16" t="s">
        <v>83</v>
      </c>
    </row>
    <row r="1403" spans="1:9" ht="15.75" x14ac:dyDescent="0.25">
      <c r="A1403" s="44" t="s">
        <v>1837</v>
      </c>
      <c r="B1403" s="49">
        <v>46069</v>
      </c>
      <c r="C1403" s="44" t="s">
        <v>1795</v>
      </c>
      <c r="D1403" s="44" t="s">
        <v>14</v>
      </c>
      <c r="E1403" s="44" t="s">
        <v>20</v>
      </c>
      <c r="F1403" s="48">
        <v>3275.8620689655177</v>
      </c>
      <c r="G1403" s="44" t="s">
        <v>8</v>
      </c>
      <c r="H1403" s="44" t="s">
        <v>910</v>
      </c>
      <c r="I1403" s="16" t="s">
        <v>83</v>
      </c>
    </row>
    <row r="1404" spans="1:9" ht="15.75" x14ac:dyDescent="0.25">
      <c r="A1404" s="44" t="s">
        <v>1837</v>
      </c>
      <c r="B1404" s="49">
        <v>46070</v>
      </c>
      <c r="C1404" s="44" t="s">
        <v>1796</v>
      </c>
      <c r="D1404" s="44" t="s">
        <v>1929</v>
      </c>
      <c r="E1404" s="44" t="s">
        <v>16</v>
      </c>
      <c r="F1404" s="48">
        <v>3047</v>
      </c>
      <c r="G1404" s="44" t="s">
        <v>15</v>
      </c>
      <c r="H1404" s="44"/>
      <c r="I1404" s="16" t="s">
        <v>83</v>
      </c>
    </row>
    <row r="1405" spans="1:9" ht="15.75" x14ac:dyDescent="0.25">
      <c r="A1405" s="44" t="s">
        <v>1837</v>
      </c>
      <c r="B1405" s="49">
        <v>46071</v>
      </c>
      <c r="C1405" s="44" t="s">
        <v>1798</v>
      </c>
      <c r="D1405" s="44" t="s">
        <v>14</v>
      </c>
      <c r="E1405" s="44" t="s">
        <v>10</v>
      </c>
      <c r="F1405" s="48">
        <v>586.20689655172418</v>
      </c>
      <c r="G1405" s="44" t="s">
        <v>8</v>
      </c>
      <c r="H1405" s="44"/>
      <c r="I1405" s="16" t="s">
        <v>83</v>
      </c>
    </row>
    <row r="1406" spans="1:9" ht="15.75" x14ac:dyDescent="0.25">
      <c r="A1406" s="44" t="s">
        <v>1837</v>
      </c>
      <c r="B1406" s="49">
        <v>46071</v>
      </c>
      <c r="C1406" s="44" t="s">
        <v>1799</v>
      </c>
      <c r="D1406" s="44" t="s">
        <v>1997</v>
      </c>
      <c r="E1406" s="44" t="s">
        <v>10</v>
      </c>
      <c r="F1406" s="48">
        <v>632</v>
      </c>
      <c r="G1406" s="44" t="s">
        <v>968</v>
      </c>
      <c r="H1406" s="44"/>
      <c r="I1406" s="16" t="s">
        <v>83</v>
      </c>
    </row>
    <row r="1407" spans="1:9" ht="15.75" x14ac:dyDescent="0.25">
      <c r="A1407" s="44" t="s">
        <v>1837</v>
      </c>
      <c r="B1407" s="49">
        <v>46072</v>
      </c>
      <c r="C1407" s="44" t="s">
        <v>1800</v>
      </c>
      <c r="D1407" s="44" t="s">
        <v>14</v>
      </c>
      <c r="E1407" s="44" t="s">
        <v>11</v>
      </c>
      <c r="F1407" s="48">
        <v>258.62068965517244</v>
      </c>
      <c r="G1407" s="44" t="s">
        <v>15</v>
      </c>
      <c r="H1407" s="44"/>
      <c r="I1407" s="16" t="s">
        <v>83</v>
      </c>
    </row>
    <row r="1408" spans="1:9" ht="15.75" x14ac:dyDescent="0.25">
      <c r="A1408" s="44" t="s">
        <v>1837</v>
      </c>
      <c r="B1408" s="49">
        <v>46072</v>
      </c>
      <c r="C1408" s="44" t="s">
        <v>1801</v>
      </c>
      <c r="D1408" s="44" t="s">
        <v>376</v>
      </c>
      <c r="E1408" s="44" t="s">
        <v>18</v>
      </c>
      <c r="F1408" s="48">
        <v>3422</v>
      </c>
      <c r="G1408" s="44" t="s">
        <v>15</v>
      </c>
      <c r="H1408" s="44"/>
      <c r="I1408" s="16" t="s">
        <v>83</v>
      </c>
    </row>
    <row r="1409" spans="1:9" ht="15.75" x14ac:dyDescent="0.25">
      <c r="A1409" s="44" t="s">
        <v>1837</v>
      </c>
      <c r="B1409" s="49">
        <v>46072</v>
      </c>
      <c r="C1409" s="44" t="s">
        <v>1802</v>
      </c>
      <c r="D1409" s="44" t="s">
        <v>25</v>
      </c>
      <c r="E1409" s="44" t="s">
        <v>11</v>
      </c>
      <c r="F1409" s="48">
        <v>344.82758620689657</v>
      </c>
      <c r="G1409" s="44" t="s">
        <v>15</v>
      </c>
      <c r="H1409" s="44"/>
      <c r="I1409" s="16" t="s">
        <v>83</v>
      </c>
    </row>
    <row r="1410" spans="1:9" ht="15.75" x14ac:dyDescent="0.25">
      <c r="A1410" s="44" t="s">
        <v>1837</v>
      </c>
      <c r="B1410" s="49">
        <v>46072</v>
      </c>
      <c r="C1410" s="44" t="s">
        <v>1804</v>
      </c>
      <c r="D1410" s="44" t="s">
        <v>1998</v>
      </c>
      <c r="E1410" s="44" t="s">
        <v>16</v>
      </c>
      <c r="F1410" s="48">
        <v>1736.2068965517242</v>
      </c>
      <c r="G1410" s="44" t="s">
        <v>15</v>
      </c>
      <c r="H1410" s="44"/>
      <c r="I1410" s="16" t="s">
        <v>83</v>
      </c>
    </row>
    <row r="1411" spans="1:9" ht="15.75" x14ac:dyDescent="0.25">
      <c r="A1411" s="44" t="s">
        <v>1837</v>
      </c>
      <c r="B1411" s="49">
        <v>46073</v>
      </c>
      <c r="C1411" s="44" t="s">
        <v>1805</v>
      </c>
      <c r="D1411" s="44" t="s">
        <v>1819</v>
      </c>
      <c r="E1411" s="44" t="s">
        <v>10</v>
      </c>
      <c r="F1411" s="48">
        <v>2745.5000000000005</v>
      </c>
      <c r="G1411" s="44" t="s">
        <v>968</v>
      </c>
      <c r="H1411" s="44"/>
      <c r="I1411" s="16" t="s">
        <v>83</v>
      </c>
    </row>
    <row r="1412" spans="1:9" ht="15.75" x14ac:dyDescent="0.25">
      <c r="A1412" s="44" t="s">
        <v>1837</v>
      </c>
      <c r="B1412" s="49">
        <v>46073</v>
      </c>
      <c r="C1412" s="44" t="s">
        <v>1910</v>
      </c>
      <c r="D1412" s="44" t="s">
        <v>1999</v>
      </c>
      <c r="E1412" s="44" t="s">
        <v>10</v>
      </c>
      <c r="F1412" s="48">
        <v>1034.4827586206898</v>
      </c>
      <c r="G1412" s="44" t="s">
        <v>8</v>
      </c>
      <c r="H1412" s="44"/>
      <c r="I1412" s="16" t="s">
        <v>83</v>
      </c>
    </row>
    <row r="1413" spans="1:9" ht="15.75" x14ac:dyDescent="0.25">
      <c r="A1413" s="44" t="s">
        <v>1837</v>
      </c>
      <c r="B1413" s="49">
        <v>46073</v>
      </c>
      <c r="C1413" s="44" t="s">
        <v>1911</v>
      </c>
      <c r="D1413" s="44" t="s">
        <v>38</v>
      </c>
      <c r="E1413" s="44" t="s">
        <v>27</v>
      </c>
      <c r="F1413" s="48">
        <v>930.41379310344837</v>
      </c>
      <c r="G1413" s="44" t="s">
        <v>13</v>
      </c>
      <c r="H1413" s="44"/>
      <c r="I1413" s="16" t="s">
        <v>83</v>
      </c>
    </row>
    <row r="1414" spans="1:9" ht="15.75" x14ac:dyDescent="0.25">
      <c r="A1414" s="44" t="s">
        <v>1837</v>
      </c>
      <c r="B1414" s="49">
        <v>46073</v>
      </c>
      <c r="C1414" s="44" t="s">
        <v>1912</v>
      </c>
      <c r="D1414" s="44" t="s">
        <v>2000</v>
      </c>
      <c r="E1414" s="44" t="s">
        <v>10</v>
      </c>
      <c r="F1414" s="48">
        <v>1681.0344827586207</v>
      </c>
      <c r="G1414" s="44" t="s">
        <v>8</v>
      </c>
      <c r="H1414" s="44"/>
      <c r="I1414" s="16" t="s">
        <v>83</v>
      </c>
    </row>
    <row r="1415" spans="1:9" ht="15.75" x14ac:dyDescent="0.25">
      <c r="A1415" s="44" t="s">
        <v>1837</v>
      </c>
      <c r="B1415" s="49">
        <v>46073</v>
      </c>
      <c r="C1415" s="44" t="s">
        <v>1913</v>
      </c>
      <c r="D1415" s="44" t="s">
        <v>2001</v>
      </c>
      <c r="E1415" s="44" t="s">
        <v>27</v>
      </c>
      <c r="F1415" s="48">
        <v>750</v>
      </c>
      <c r="G1415" s="44" t="s">
        <v>15</v>
      </c>
      <c r="H1415" s="44"/>
      <c r="I1415" s="16" t="s">
        <v>83</v>
      </c>
    </row>
    <row r="1416" spans="1:9" ht="15.75" x14ac:dyDescent="0.25">
      <c r="A1416" s="44" t="s">
        <v>1837</v>
      </c>
      <c r="B1416" s="49">
        <v>46074</v>
      </c>
      <c r="C1416" s="44" t="s">
        <v>1914</v>
      </c>
      <c r="D1416" s="44" t="s">
        <v>38</v>
      </c>
      <c r="E1416" s="44" t="s">
        <v>27</v>
      </c>
      <c r="F1416" s="48">
        <v>909.07758620689663</v>
      </c>
      <c r="G1416" s="44" t="s">
        <v>13</v>
      </c>
      <c r="H1416" s="44"/>
      <c r="I1416" s="16" t="s">
        <v>83</v>
      </c>
    </row>
    <row r="1417" spans="1:9" ht="15.75" x14ac:dyDescent="0.25">
      <c r="A1417" s="44" t="s">
        <v>1837</v>
      </c>
      <c r="B1417" s="49">
        <v>46074</v>
      </c>
      <c r="C1417" s="44" t="s">
        <v>1915</v>
      </c>
      <c r="D1417" s="44" t="s">
        <v>38</v>
      </c>
      <c r="E1417" s="44" t="s">
        <v>27</v>
      </c>
      <c r="F1417" s="48">
        <v>919.91379310344826</v>
      </c>
      <c r="G1417" s="44" t="s">
        <v>13</v>
      </c>
      <c r="H1417" s="44"/>
      <c r="I1417" s="16" t="s">
        <v>83</v>
      </c>
    </row>
    <row r="1418" spans="1:9" ht="15.75" x14ac:dyDescent="0.25">
      <c r="A1418" s="44" t="s">
        <v>1837</v>
      </c>
      <c r="B1418" s="49">
        <v>46074</v>
      </c>
      <c r="C1418" s="44" t="s">
        <v>1916</v>
      </c>
      <c r="D1418" s="44" t="s">
        <v>14</v>
      </c>
      <c r="E1418" s="44" t="s">
        <v>18</v>
      </c>
      <c r="F1418" s="48">
        <v>301.72413793103448</v>
      </c>
      <c r="G1418" s="44" t="s">
        <v>15</v>
      </c>
      <c r="H1418" s="44"/>
      <c r="I1418" s="16" t="s">
        <v>83</v>
      </c>
    </row>
    <row r="1419" spans="1:9" ht="15.75" x14ac:dyDescent="0.25">
      <c r="A1419" s="44" t="s">
        <v>1837</v>
      </c>
      <c r="B1419" s="49">
        <v>46074</v>
      </c>
      <c r="C1419" s="44" t="s">
        <v>1917</v>
      </c>
      <c r="D1419" s="44" t="s">
        <v>14</v>
      </c>
      <c r="E1419" s="44" t="s">
        <v>27</v>
      </c>
      <c r="F1419" s="48">
        <v>258.62068965517244</v>
      </c>
      <c r="G1419" s="44" t="s">
        <v>15</v>
      </c>
      <c r="H1419" s="44"/>
      <c r="I1419" s="16" t="s">
        <v>83</v>
      </c>
    </row>
    <row r="1420" spans="1:9" ht="15.75" x14ac:dyDescent="0.25">
      <c r="A1420" s="44" t="s">
        <v>1837</v>
      </c>
      <c r="B1420" s="49">
        <v>46076</v>
      </c>
      <c r="C1420" s="44" t="s">
        <v>1918</v>
      </c>
      <c r="D1420" s="44" t="s">
        <v>22</v>
      </c>
      <c r="E1420" s="44"/>
      <c r="F1420" s="48">
        <v>0</v>
      </c>
      <c r="G1420" s="44"/>
      <c r="H1420" s="44"/>
      <c r="I1420" s="16" t="s">
        <v>83</v>
      </c>
    </row>
    <row r="1421" spans="1:9" ht="15.75" x14ac:dyDescent="0.25">
      <c r="A1421" s="44" t="s">
        <v>1837</v>
      </c>
      <c r="B1421" s="49">
        <v>46077</v>
      </c>
      <c r="C1421" s="44" t="s">
        <v>1919</v>
      </c>
      <c r="D1421" s="44" t="s">
        <v>2002</v>
      </c>
      <c r="E1421" s="44" t="s">
        <v>11</v>
      </c>
      <c r="F1421" s="48">
        <v>258.62068965517244</v>
      </c>
      <c r="G1421" s="44" t="s">
        <v>15</v>
      </c>
      <c r="H1421" s="44"/>
      <c r="I1421" s="16" t="s">
        <v>83</v>
      </c>
    </row>
    <row r="1422" spans="1:9" ht="15.75" x14ac:dyDescent="0.25">
      <c r="A1422" s="44" t="s">
        <v>1837</v>
      </c>
      <c r="B1422" s="49">
        <v>46077</v>
      </c>
      <c r="C1422" s="44" t="s">
        <v>1920</v>
      </c>
      <c r="D1422" s="44" t="s">
        <v>14</v>
      </c>
      <c r="E1422" s="44" t="s">
        <v>18</v>
      </c>
      <c r="F1422" s="48">
        <v>258.62068965517244</v>
      </c>
      <c r="G1422" s="44" t="s">
        <v>15</v>
      </c>
      <c r="H1422" s="44"/>
      <c r="I1422" s="16" t="s">
        <v>83</v>
      </c>
    </row>
    <row r="1423" spans="1:9" ht="15.75" x14ac:dyDescent="0.25">
      <c r="A1423" s="44" t="s">
        <v>1837</v>
      </c>
      <c r="B1423" s="49">
        <v>46077</v>
      </c>
      <c r="C1423" s="44" t="s">
        <v>1921</v>
      </c>
      <c r="D1423" s="44" t="s">
        <v>1947</v>
      </c>
      <c r="E1423" s="44" t="s">
        <v>18</v>
      </c>
      <c r="F1423" s="48">
        <v>6599.0000000000009</v>
      </c>
      <c r="G1423" s="44" t="s">
        <v>49</v>
      </c>
      <c r="H1423" s="44"/>
      <c r="I1423" s="16" t="s">
        <v>83</v>
      </c>
    </row>
    <row r="1424" spans="1:9" ht="15.75" x14ac:dyDescent="0.25">
      <c r="A1424" s="44" t="s">
        <v>1837</v>
      </c>
      <c r="B1424" s="49">
        <v>46078</v>
      </c>
      <c r="C1424" s="44" t="s">
        <v>1922</v>
      </c>
      <c r="D1424" s="44" t="s">
        <v>1824</v>
      </c>
      <c r="E1424" s="44" t="s">
        <v>10</v>
      </c>
      <c r="F1424" s="48">
        <v>2734.5172413793107</v>
      </c>
      <c r="G1424" s="44" t="s">
        <v>968</v>
      </c>
      <c r="H1424" s="44"/>
      <c r="I1424" s="16" t="s">
        <v>83</v>
      </c>
    </row>
    <row r="1425" spans="1:10" ht="15.75" x14ac:dyDescent="0.25">
      <c r="A1425" s="44" t="s">
        <v>1837</v>
      </c>
      <c r="B1425" s="49">
        <v>46078</v>
      </c>
      <c r="C1425" s="44" t="s">
        <v>1923</v>
      </c>
      <c r="D1425" s="44" t="s">
        <v>1239</v>
      </c>
      <c r="E1425" s="44" t="s">
        <v>18</v>
      </c>
      <c r="F1425" s="48">
        <v>5615</v>
      </c>
      <c r="G1425" s="44" t="s">
        <v>968</v>
      </c>
      <c r="H1425" s="44"/>
      <c r="I1425" s="16" t="s">
        <v>83</v>
      </c>
    </row>
    <row r="1426" spans="1:10" ht="15.75" x14ac:dyDescent="0.25">
      <c r="A1426" s="44" t="s">
        <v>1837</v>
      </c>
      <c r="B1426" s="49">
        <v>46078</v>
      </c>
      <c r="C1426" s="44" t="s">
        <v>1924</v>
      </c>
      <c r="D1426" s="44" t="s">
        <v>1239</v>
      </c>
      <c r="E1426" s="44" t="s">
        <v>18</v>
      </c>
      <c r="F1426" s="48">
        <v>4500</v>
      </c>
      <c r="G1426" s="44" t="s">
        <v>968</v>
      </c>
      <c r="H1426" s="44"/>
      <c r="I1426" s="16" t="s">
        <v>83</v>
      </c>
    </row>
    <row r="1427" spans="1:10" ht="15.75" x14ac:dyDescent="0.25">
      <c r="A1427" s="44" t="s">
        <v>1837</v>
      </c>
      <c r="B1427" s="49">
        <v>46078</v>
      </c>
      <c r="C1427" s="44" t="s">
        <v>1812</v>
      </c>
      <c r="D1427" s="44" t="s">
        <v>1239</v>
      </c>
      <c r="E1427" s="44" t="s">
        <v>18</v>
      </c>
      <c r="F1427" s="48">
        <v>270</v>
      </c>
      <c r="G1427" s="44" t="s">
        <v>968</v>
      </c>
      <c r="H1427" s="44"/>
      <c r="I1427" s="16" t="s">
        <v>83</v>
      </c>
    </row>
    <row r="1428" spans="1:10" ht="15.75" x14ac:dyDescent="0.25">
      <c r="A1428" s="44" t="s">
        <v>1837</v>
      </c>
      <c r="B1428" s="49">
        <v>46078</v>
      </c>
      <c r="C1428" s="44" t="s">
        <v>1925</v>
      </c>
      <c r="D1428" s="44" t="s">
        <v>14</v>
      </c>
      <c r="E1428" s="44" t="s">
        <v>10</v>
      </c>
      <c r="F1428" s="48">
        <v>38.793103448275865</v>
      </c>
      <c r="G1428" s="44" t="s">
        <v>8</v>
      </c>
      <c r="H1428" s="44"/>
      <c r="I1428" s="16" t="s">
        <v>83</v>
      </c>
    </row>
    <row r="1429" spans="1:10" ht="15.75" x14ac:dyDescent="0.25">
      <c r="A1429" s="44" t="s">
        <v>1837</v>
      </c>
      <c r="B1429" s="49">
        <v>46079</v>
      </c>
      <c r="C1429" s="44" t="s">
        <v>1926</v>
      </c>
      <c r="D1429" s="44" t="s">
        <v>1546</v>
      </c>
      <c r="E1429" s="44" t="s">
        <v>18</v>
      </c>
      <c r="F1429" s="48">
        <v>3263.5</v>
      </c>
      <c r="G1429" s="44" t="s">
        <v>968</v>
      </c>
      <c r="H1429" s="44"/>
      <c r="I1429" s="16" t="s">
        <v>83</v>
      </c>
    </row>
    <row r="1430" spans="1:10" ht="15.75" x14ac:dyDescent="0.25">
      <c r="A1430" s="44" t="s">
        <v>1837</v>
      </c>
      <c r="B1430" s="49">
        <v>46080</v>
      </c>
      <c r="C1430" s="44" t="s">
        <v>1927</v>
      </c>
      <c r="D1430" s="44" t="s">
        <v>22</v>
      </c>
      <c r="E1430" s="44" t="s">
        <v>23</v>
      </c>
      <c r="F1430" s="48">
        <v>104488.00000000001</v>
      </c>
      <c r="G1430" s="44" t="s">
        <v>34</v>
      </c>
      <c r="H1430" s="44"/>
      <c r="I1430" s="16" t="s">
        <v>83</v>
      </c>
    </row>
    <row r="1431" spans="1:10" ht="15.75" x14ac:dyDescent="0.25">
      <c r="A1431" s="44" t="s">
        <v>1837</v>
      </c>
      <c r="B1431" s="49">
        <v>46080</v>
      </c>
      <c r="C1431" s="44" t="s">
        <v>1928</v>
      </c>
      <c r="D1431" s="44" t="s">
        <v>22</v>
      </c>
      <c r="E1431" s="44" t="s">
        <v>23</v>
      </c>
      <c r="F1431" s="48">
        <v>4200.8965517241386</v>
      </c>
      <c r="G1431" s="44" t="s">
        <v>34</v>
      </c>
      <c r="H1431" s="44"/>
      <c r="I1431" s="16" t="s">
        <v>83</v>
      </c>
    </row>
    <row r="1432" spans="1:10" ht="15.75" x14ac:dyDescent="0.25">
      <c r="A1432" s="44" t="s">
        <v>1837</v>
      </c>
      <c r="B1432" s="49">
        <v>46080</v>
      </c>
      <c r="C1432" s="44" t="s">
        <v>1930</v>
      </c>
      <c r="D1432" s="44" t="s">
        <v>1114</v>
      </c>
      <c r="E1432" s="44" t="s">
        <v>23</v>
      </c>
      <c r="F1432" s="48">
        <v>20700</v>
      </c>
      <c r="G1432" s="44" t="s">
        <v>968</v>
      </c>
      <c r="H1432" s="44"/>
      <c r="I1432" s="16" t="s">
        <v>83</v>
      </c>
    </row>
    <row r="1433" spans="1:10" ht="15.75" x14ac:dyDescent="0.25">
      <c r="A1433" s="44" t="s">
        <v>1837</v>
      </c>
      <c r="B1433" s="49">
        <v>46080</v>
      </c>
      <c r="C1433" s="44" t="s">
        <v>1931</v>
      </c>
      <c r="D1433" s="44" t="s">
        <v>22</v>
      </c>
      <c r="E1433" s="44" t="s">
        <v>10</v>
      </c>
      <c r="F1433" s="48">
        <v>4518</v>
      </c>
      <c r="G1433" s="44" t="s">
        <v>34</v>
      </c>
      <c r="H1433" s="44"/>
      <c r="I1433" s="16" t="s">
        <v>83</v>
      </c>
    </row>
    <row r="1434" spans="1:10" ht="15.75" x14ac:dyDescent="0.25">
      <c r="A1434" s="44" t="s">
        <v>1837</v>
      </c>
      <c r="B1434" s="49">
        <v>46080</v>
      </c>
      <c r="C1434" s="44" t="s">
        <v>1933</v>
      </c>
      <c r="D1434" s="44" t="s">
        <v>22</v>
      </c>
      <c r="E1434" s="44" t="s">
        <v>18</v>
      </c>
      <c r="F1434" s="48">
        <v>2583.0000000000005</v>
      </c>
      <c r="G1434" s="44" t="s">
        <v>34</v>
      </c>
      <c r="H1434" s="44"/>
      <c r="I1434" s="16" t="s">
        <v>83</v>
      </c>
    </row>
    <row r="1435" spans="1:10" ht="15.75" x14ac:dyDescent="0.25">
      <c r="A1435" s="44" t="s">
        <v>1837</v>
      </c>
      <c r="B1435" s="49">
        <v>46080</v>
      </c>
      <c r="C1435" s="44" t="s">
        <v>1934</v>
      </c>
      <c r="D1435" s="44" t="s">
        <v>2003</v>
      </c>
      <c r="E1435" s="44" t="s">
        <v>18</v>
      </c>
      <c r="F1435" s="48">
        <v>725</v>
      </c>
      <c r="G1435" s="44" t="s">
        <v>968</v>
      </c>
      <c r="H1435" s="44"/>
      <c r="I1435" s="16" t="s">
        <v>83</v>
      </c>
    </row>
    <row r="1436" spans="1:10" ht="15.75" x14ac:dyDescent="0.25">
      <c r="A1436" s="54" t="s">
        <v>1837</v>
      </c>
      <c r="B1436" s="55">
        <v>46080</v>
      </c>
      <c r="C1436" s="54" t="s">
        <v>1935</v>
      </c>
      <c r="D1436" s="54" t="s">
        <v>22</v>
      </c>
      <c r="E1436" s="54" t="s">
        <v>23</v>
      </c>
      <c r="F1436" s="56">
        <v>79500</v>
      </c>
      <c r="G1436" s="54" t="s">
        <v>34</v>
      </c>
      <c r="H1436" s="54"/>
      <c r="I1436" s="66" t="s">
        <v>83</v>
      </c>
      <c r="J1436" s="62" t="s">
        <v>2048</v>
      </c>
    </row>
    <row r="1437" spans="1:10" ht="15.75" x14ac:dyDescent="0.25">
      <c r="A1437" s="44" t="s">
        <v>1837</v>
      </c>
      <c r="B1437" s="49">
        <v>46081</v>
      </c>
      <c r="C1437" s="44" t="s">
        <v>1936</v>
      </c>
      <c r="D1437" s="44" t="s">
        <v>14</v>
      </c>
      <c r="E1437" s="44" t="s">
        <v>10</v>
      </c>
      <c r="F1437" s="48">
        <v>948.27586206896558</v>
      </c>
      <c r="G1437" s="44" t="s">
        <v>8</v>
      </c>
      <c r="H1437" s="44"/>
      <c r="I1437" s="16" t="s">
        <v>83</v>
      </c>
    </row>
    <row r="1438" spans="1:10" ht="15.75" x14ac:dyDescent="0.25">
      <c r="A1438" s="44" t="s">
        <v>1837</v>
      </c>
      <c r="B1438" s="49">
        <v>46081</v>
      </c>
      <c r="C1438" s="44" t="s">
        <v>1939</v>
      </c>
      <c r="D1438" s="44" t="s">
        <v>14</v>
      </c>
      <c r="E1438" s="44" t="s">
        <v>11</v>
      </c>
      <c r="F1438" s="48">
        <v>258.62068965517244</v>
      </c>
      <c r="G1438" s="44" t="s">
        <v>15</v>
      </c>
      <c r="H1438" s="44"/>
      <c r="I1438" s="16" t="s">
        <v>83</v>
      </c>
    </row>
    <row r="1439" spans="1:10" ht="15.75" x14ac:dyDescent="0.25">
      <c r="A1439" s="44" t="s">
        <v>1837</v>
      </c>
      <c r="B1439" s="49">
        <v>45718</v>
      </c>
      <c r="C1439" s="44" t="s">
        <v>2004</v>
      </c>
      <c r="D1439" s="44" t="s">
        <v>1824</v>
      </c>
      <c r="E1439" s="44" t="s">
        <v>10</v>
      </c>
      <c r="F1439" s="48">
        <v>1872.4482758620691</v>
      </c>
      <c r="G1439" s="44" t="s">
        <v>968</v>
      </c>
      <c r="H1439" s="44"/>
      <c r="I1439" s="16" t="s">
        <v>83</v>
      </c>
    </row>
    <row r="1440" spans="1:10" ht="15.75" x14ac:dyDescent="0.25">
      <c r="A1440" s="44" t="s">
        <v>1837</v>
      </c>
      <c r="B1440" s="49">
        <v>46083</v>
      </c>
      <c r="C1440" s="44" t="s">
        <v>1830</v>
      </c>
      <c r="D1440" s="44" t="s">
        <v>1176</v>
      </c>
      <c r="E1440" s="44" t="s">
        <v>10</v>
      </c>
      <c r="F1440" s="48">
        <v>14473.413793103449</v>
      </c>
      <c r="G1440" s="44" t="s">
        <v>34</v>
      </c>
      <c r="H1440" s="44"/>
      <c r="I1440" s="16" t="s">
        <v>83</v>
      </c>
    </row>
    <row r="1441" spans="1:9" ht="15.75" x14ac:dyDescent="0.25">
      <c r="A1441" s="44" t="s">
        <v>1837</v>
      </c>
      <c r="B1441" s="49">
        <v>46083</v>
      </c>
      <c r="C1441" s="44" t="s">
        <v>2005</v>
      </c>
      <c r="D1441" s="44" t="s">
        <v>1974</v>
      </c>
      <c r="E1441" s="44" t="s">
        <v>27</v>
      </c>
      <c r="F1441" s="48">
        <v>258.62068965517244</v>
      </c>
      <c r="G1441" s="44" t="s">
        <v>15</v>
      </c>
      <c r="H1441" s="44"/>
      <c r="I1441" s="16" t="s">
        <v>83</v>
      </c>
    </row>
    <row r="1442" spans="1:9" ht="15.75" x14ac:dyDescent="0.25">
      <c r="A1442" s="44" t="s">
        <v>1837</v>
      </c>
      <c r="B1442" s="49">
        <v>46083</v>
      </c>
      <c r="C1442" s="44" t="s">
        <v>2006</v>
      </c>
      <c r="D1442" s="44" t="s">
        <v>1974</v>
      </c>
      <c r="E1442" s="44" t="s">
        <v>18</v>
      </c>
      <c r="F1442" s="48">
        <v>995.00000000000011</v>
      </c>
      <c r="G1442" s="44" t="s">
        <v>15</v>
      </c>
      <c r="H1442" s="44"/>
      <c r="I1442" s="16" t="s">
        <v>83</v>
      </c>
    </row>
    <row r="1443" spans="1:9" ht="15.75" x14ac:dyDescent="0.25">
      <c r="A1443" s="44" t="s">
        <v>1837</v>
      </c>
      <c r="B1443" s="49">
        <v>46083</v>
      </c>
      <c r="C1443" s="44" t="s">
        <v>2007</v>
      </c>
      <c r="D1443" s="44" t="s">
        <v>1974</v>
      </c>
      <c r="E1443" s="44" t="s">
        <v>16</v>
      </c>
      <c r="F1443" s="48">
        <v>1286.3793103448277</v>
      </c>
      <c r="G1443" s="44" t="s">
        <v>15</v>
      </c>
      <c r="H1443" s="44"/>
      <c r="I1443" s="16" t="s">
        <v>83</v>
      </c>
    </row>
    <row r="1444" spans="1:9" ht="15.75" x14ac:dyDescent="0.25">
      <c r="A1444" s="44" t="s">
        <v>1837</v>
      </c>
      <c r="B1444" s="49">
        <v>46084</v>
      </c>
      <c r="C1444" s="44" t="s">
        <v>1831</v>
      </c>
      <c r="D1444" s="44" t="s">
        <v>30</v>
      </c>
      <c r="E1444" s="44"/>
      <c r="F1444" s="48">
        <v>0</v>
      </c>
      <c r="G1444" s="44"/>
      <c r="H1444" s="44"/>
      <c r="I1444" s="16" t="s">
        <v>83</v>
      </c>
    </row>
    <row r="1445" spans="1:9" ht="15.75" x14ac:dyDescent="0.25">
      <c r="A1445" s="44" t="s">
        <v>1837</v>
      </c>
      <c r="B1445" s="49">
        <v>46085</v>
      </c>
      <c r="C1445" s="44" t="s">
        <v>1833</v>
      </c>
      <c r="D1445" s="44" t="s">
        <v>1824</v>
      </c>
      <c r="E1445" s="44" t="s">
        <v>10</v>
      </c>
      <c r="F1445" s="48">
        <v>1738.5000000000002</v>
      </c>
      <c r="G1445" s="44" t="s">
        <v>968</v>
      </c>
      <c r="H1445" s="44"/>
      <c r="I1445" s="16" t="s">
        <v>83</v>
      </c>
    </row>
    <row r="1446" spans="1:9" ht="15.75" x14ac:dyDescent="0.25">
      <c r="A1446" s="44" t="s">
        <v>1837</v>
      </c>
      <c r="B1446" s="49">
        <v>46085</v>
      </c>
      <c r="C1446" s="44" t="s">
        <v>2009</v>
      </c>
      <c r="D1446" s="44" t="s">
        <v>1832</v>
      </c>
      <c r="E1446" s="44" t="s">
        <v>10</v>
      </c>
      <c r="F1446" s="48">
        <v>320</v>
      </c>
      <c r="G1446" s="44" t="s">
        <v>13</v>
      </c>
      <c r="H1446" s="44"/>
      <c r="I1446" s="16" t="s">
        <v>83</v>
      </c>
    </row>
    <row r="1447" spans="1:9" ht="15.75" x14ac:dyDescent="0.25">
      <c r="A1447" s="44" t="s">
        <v>1837</v>
      </c>
      <c r="B1447" s="49">
        <v>46086</v>
      </c>
      <c r="C1447" s="44" t="s">
        <v>2010</v>
      </c>
      <c r="D1447" s="44" t="s">
        <v>1114</v>
      </c>
      <c r="E1447" s="44" t="s">
        <v>20</v>
      </c>
      <c r="F1447" s="48">
        <v>4784.4827586206902</v>
      </c>
      <c r="G1447" s="44" t="s">
        <v>968</v>
      </c>
      <c r="H1447" s="44" t="s">
        <v>57</v>
      </c>
      <c r="I1447" s="16" t="s">
        <v>83</v>
      </c>
    </row>
    <row r="1448" spans="1:9" ht="15.75" x14ac:dyDescent="0.25">
      <c r="A1448" s="44" t="s">
        <v>1837</v>
      </c>
      <c r="B1448" s="49">
        <v>46086</v>
      </c>
      <c r="C1448" s="44" t="s">
        <v>2011</v>
      </c>
      <c r="D1448" s="44" t="s">
        <v>14</v>
      </c>
      <c r="E1448" s="44" t="s">
        <v>16</v>
      </c>
      <c r="F1448" s="48">
        <v>4037.0000000000005</v>
      </c>
      <c r="G1448" s="44" t="s">
        <v>15</v>
      </c>
      <c r="H1448" s="44"/>
      <c r="I1448" s="16" t="s">
        <v>83</v>
      </c>
    </row>
    <row r="1449" spans="1:9" ht="15.75" x14ac:dyDescent="0.25">
      <c r="A1449" s="44" t="s">
        <v>1837</v>
      </c>
      <c r="B1449" s="49">
        <v>46086</v>
      </c>
      <c r="C1449" s="44" t="s">
        <v>2012</v>
      </c>
      <c r="D1449" s="44" t="s">
        <v>1947</v>
      </c>
      <c r="E1449" s="44" t="s">
        <v>18</v>
      </c>
      <c r="F1449" s="48">
        <v>3167</v>
      </c>
      <c r="G1449" s="44" t="s">
        <v>49</v>
      </c>
      <c r="H1449" s="44"/>
      <c r="I1449" s="16" t="s">
        <v>83</v>
      </c>
    </row>
    <row r="1450" spans="1:9" ht="15.75" x14ac:dyDescent="0.25">
      <c r="A1450" s="44" t="s">
        <v>1837</v>
      </c>
      <c r="B1450" s="49">
        <v>46086</v>
      </c>
      <c r="C1450" s="44" t="s">
        <v>2013</v>
      </c>
      <c r="D1450" s="44" t="s">
        <v>14</v>
      </c>
      <c r="E1450" s="44" t="s">
        <v>10</v>
      </c>
      <c r="F1450" s="48">
        <v>480</v>
      </c>
      <c r="G1450" s="44" t="s">
        <v>8</v>
      </c>
      <c r="H1450" s="44"/>
      <c r="I1450" s="16" t="s">
        <v>83</v>
      </c>
    </row>
    <row r="1451" spans="1:9" ht="15.75" x14ac:dyDescent="0.25">
      <c r="A1451" s="44" t="s">
        <v>1837</v>
      </c>
      <c r="B1451" s="49">
        <v>46087</v>
      </c>
      <c r="C1451" s="44" t="s">
        <v>2014</v>
      </c>
      <c r="D1451" s="44" t="s">
        <v>2015</v>
      </c>
      <c r="E1451" s="44" t="s">
        <v>10</v>
      </c>
      <c r="F1451" s="48">
        <v>215.51724137931035</v>
      </c>
      <c r="G1451" s="44" t="s">
        <v>8</v>
      </c>
      <c r="H1451" s="44"/>
      <c r="I1451" s="16" t="s">
        <v>83</v>
      </c>
    </row>
    <row r="1452" spans="1:9" ht="15.75" x14ac:dyDescent="0.25">
      <c r="A1452" s="44" t="s">
        <v>1837</v>
      </c>
      <c r="B1452" s="49">
        <v>46091</v>
      </c>
      <c r="C1452" s="44" t="s">
        <v>1834</v>
      </c>
      <c r="D1452" s="44" t="s">
        <v>1303</v>
      </c>
      <c r="E1452" s="44" t="s">
        <v>16</v>
      </c>
      <c r="F1452" s="48">
        <v>8448.7327586206902</v>
      </c>
      <c r="G1452" s="44" t="s">
        <v>47</v>
      </c>
      <c r="H1452" s="44"/>
      <c r="I1452" s="16" t="s">
        <v>83</v>
      </c>
    </row>
    <row r="1453" spans="1:9" ht="15.75" x14ac:dyDescent="0.25">
      <c r="A1453" s="44" t="s">
        <v>1837</v>
      </c>
      <c r="B1453" s="49">
        <v>46091</v>
      </c>
      <c r="C1453" s="44" t="s">
        <v>2016</v>
      </c>
      <c r="D1453" s="44" t="s">
        <v>14</v>
      </c>
      <c r="E1453" s="44" t="s">
        <v>18</v>
      </c>
      <c r="F1453" s="48">
        <v>431.04310344827587</v>
      </c>
      <c r="G1453" s="44" t="s">
        <v>15</v>
      </c>
      <c r="H1453" s="44"/>
      <c r="I1453" s="16" t="s">
        <v>83</v>
      </c>
    </row>
    <row r="1454" spans="1:9" ht="15.75" x14ac:dyDescent="0.25">
      <c r="A1454" s="44" t="s">
        <v>1837</v>
      </c>
      <c r="B1454" s="49">
        <v>46091</v>
      </c>
      <c r="C1454" s="44" t="s">
        <v>2017</v>
      </c>
      <c r="D1454" s="44" t="s">
        <v>14</v>
      </c>
      <c r="E1454" s="44" t="s">
        <v>16</v>
      </c>
      <c r="F1454" s="48">
        <v>3225.2413793103451</v>
      </c>
      <c r="G1454" s="44" t="s">
        <v>15</v>
      </c>
      <c r="H1454" s="44"/>
      <c r="I1454" s="16" t="s">
        <v>83</v>
      </c>
    </row>
    <row r="1455" spans="1:9" ht="15.75" x14ac:dyDescent="0.25">
      <c r="A1455" s="44" t="s">
        <v>1837</v>
      </c>
      <c r="B1455" s="49">
        <v>46092</v>
      </c>
      <c r="C1455" s="44" t="s">
        <v>1836</v>
      </c>
      <c r="D1455" s="44" t="s">
        <v>22</v>
      </c>
      <c r="E1455" s="44" t="s">
        <v>10</v>
      </c>
      <c r="F1455" s="48">
        <v>270</v>
      </c>
      <c r="G1455" s="44" t="s">
        <v>34</v>
      </c>
      <c r="H1455" s="44"/>
      <c r="I1455" s="16" t="s">
        <v>83</v>
      </c>
    </row>
    <row r="1456" spans="1:9" ht="15.75" x14ac:dyDescent="0.25">
      <c r="A1456" s="44" t="s">
        <v>1837</v>
      </c>
      <c r="B1456" s="49">
        <v>46093</v>
      </c>
      <c r="C1456" s="44" t="s">
        <v>1835</v>
      </c>
      <c r="D1456" s="44" t="s">
        <v>1521</v>
      </c>
      <c r="E1456" s="44" t="s">
        <v>23</v>
      </c>
      <c r="F1456" s="48">
        <v>18627</v>
      </c>
      <c r="G1456" s="44" t="s">
        <v>13</v>
      </c>
      <c r="H1456" s="44" t="s">
        <v>39</v>
      </c>
      <c r="I1456" s="16" t="s">
        <v>83</v>
      </c>
    </row>
    <row r="1457" spans="1:9" ht="15.75" x14ac:dyDescent="0.25">
      <c r="A1457" s="44" t="s">
        <v>1837</v>
      </c>
      <c r="B1457" s="49">
        <v>46093</v>
      </c>
      <c r="C1457" s="44" t="s">
        <v>2018</v>
      </c>
      <c r="D1457" s="44" t="s">
        <v>14</v>
      </c>
      <c r="E1457" s="44" t="s">
        <v>16</v>
      </c>
      <c r="F1457" s="48">
        <v>3424.0000000000005</v>
      </c>
      <c r="G1457" s="44" t="s">
        <v>15</v>
      </c>
      <c r="H1457" s="44"/>
      <c r="I1457" s="16" t="s">
        <v>83</v>
      </c>
    </row>
    <row r="1458" spans="1:9" ht="15.75" x14ac:dyDescent="0.25">
      <c r="A1458" s="44" t="s">
        <v>1837</v>
      </c>
      <c r="B1458" s="49">
        <v>46093</v>
      </c>
      <c r="C1458" s="44" t="s">
        <v>2019</v>
      </c>
      <c r="D1458" s="44" t="s">
        <v>14</v>
      </c>
      <c r="E1458" s="44" t="s">
        <v>10</v>
      </c>
      <c r="F1458" s="48">
        <v>280.17241379310349</v>
      </c>
      <c r="G1458" s="44" t="s">
        <v>8</v>
      </c>
      <c r="H1458" s="44"/>
      <c r="I1458" s="16" t="s">
        <v>83</v>
      </c>
    </row>
    <row r="1459" spans="1:9" ht="15.75" x14ac:dyDescent="0.25">
      <c r="A1459" s="44" t="s">
        <v>1837</v>
      </c>
      <c r="B1459" s="49">
        <v>46093</v>
      </c>
      <c r="C1459" s="44" t="s">
        <v>2020</v>
      </c>
      <c r="D1459" s="44" t="s">
        <v>14</v>
      </c>
      <c r="E1459" s="44" t="s">
        <v>11</v>
      </c>
      <c r="F1459" s="48">
        <v>258.62068965517244</v>
      </c>
      <c r="G1459" s="44" t="s">
        <v>15</v>
      </c>
      <c r="H1459" s="44"/>
      <c r="I1459" s="16" t="s">
        <v>83</v>
      </c>
    </row>
    <row r="1460" spans="1:9" ht="15.75" x14ac:dyDescent="0.25">
      <c r="A1460" s="44" t="s">
        <v>1837</v>
      </c>
      <c r="B1460" s="49">
        <v>46094</v>
      </c>
      <c r="C1460" s="44" t="s">
        <v>2021</v>
      </c>
      <c r="D1460" s="44" t="s">
        <v>22</v>
      </c>
      <c r="E1460" s="44"/>
      <c r="F1460" s="48">
        <v>0</v>
      </c>
      <c r="G1460" s="44"/>
      <c r="H1460" s="44"/>
      <c r="I1460" s="16" t="s">
        <v>83</v>
      </c>
    </row>
    <row r="1461" spans="1:9" ht="15.75" x14ac:dyDescent="0.25">
      <c r="A1461" s="44" t="s">
        <v>1837</v>
      </c>
      <c r="B1461" s="49">
        <v>46095</v>
      </c>
      <c r="C1461" s="44" t="s">
        <v>2022</v>
      </c>
      <c r="D1461" s="44" t="s">
        <v>1546</v>
      </c>
      <c r="E1461" s="44" t="s">
        <v>16</v>
      </c>
      <c r="F1461" s="48">
        <v>3263.5</v>
      </c>
      <c r="G1461" s="44" t="s">
        <v>968</v>
      </c>
      <c r="H1461" s="44"/>
      <c r="I1461" s="16" t="s">
        <v>83</v>
      </c>
    </row>
    <row r="1462" spans="1:9" ht="15.75" x14ac:dyDescent="0.25">
      <c r="A1462" s="44" t="s">
        <v>1837</v>
      </c>
      <c r="B1462" s="49">
        <v>46095</v>
      </c>
      <c r="C1462" s="44" t="s">
        <v>2023</v>
      </c>
      <c r="D1462" s="44" t="s">
        <v>14</v>
      </c>
      <c r="E1462" s="44" t="s">
        <v>10</v>
      </c>
      <c r="F1462" s="48">
        <v>43.103448275862071</v>
      </c>
      <c r="G1462" s="44" t="s">
        <v>8</v>
      </c>
      <c r="H1462" s="44"/>
      <c r="I1462" s="16" t="s">
        <v>83</v>
      </c>
    </row>
    <row r="1463" spans="1:9" ht="15.75" x14ac:dyDescent="0.25">
      <c r="A1463" s="44" t="s">
        <v>1837</v>
      </c>
      <c r="B1463" s="49">
        <v>46095</v>
      </c>
      <c r="C1463" s="44" t="s">
        <v>2024</v>
      </c>
      <c r="D1463" s="44" t="s">
        <v>14</v>
      </c>
      <c r="E1463" s="44" t="s">
        <v>20</v>
      </c>
      <c r="F1463" s="48">
        <v>3189.6637931034488</v>
      </c>
      <c r="G1463" s="44" t="s">
        <v>8</v>
      </c>
      <c r="H1463" s="44" t="s">
        <v>2025</v>
      </c>
      <c r="I1463" s="16" t="s">
        <v>83</v>
      </c>
    </row>
    <row r="1464" spans="1:9" ht="15.75" x14ac:dyDescent="0.25">
      <c r="A1464" s="44" t="s">
        <v>1837</v>
      </c>
      <c r="B1464" s="49">
        <v>46098</v>
      </c>
      <c r="C1464" s="44" t="s">
        <v>2051</v>
      </c>
      <c r="D1464" s="44" t="s">
        <v>22</v>
      </c>
      <c r="E1464" s="44" t="s">
        <v>18</v>
      </c>
      <c r="F1464" s="48">
        <v>2273.3965517241381</v>
      </c>
      <c r="G1464" s="44" t="s">
        <v>34</v>
      </c>
      <c r="H1464" s="44"/>
      <c r="I1464" s="16" t="s">
        <v>83</v>
      </c>
    </row>
    <row r="1465" spans="1:9" ht="15.75" x14ac:dyDescent="0.25">
      <c r="A1465" s="44" t="s">
        <v>1837</v>
      </c>
      <c r="B1465" s="49">
        <v>46098</v>
      </c>
      <c r="C1465" s="44" t="s">
        <v>2052</v>
      </c>
      <c r="D1465" s="44" t="s">
        <v>2053</v>
      </c>
      <c r="E1465" s="44" t="s">
        <v>18</v>
      </c>
      <c r="F1465" s="48">
        <v>3030.0000000000005</v>
      </c>
      <c r="G1465" s="44" t="s">
        <v>49</v>
      </c>
      <c r="H1465" s="44"/>
      <c r="I1465" s="16" t="s">
        <v>83</v>
      </c>
    </row>
    <row r="1466" spans="1:9" ht="15.75" x14ac:dyDescent="0.25">
      <c r="A1466" s="44" t="s">
        <v>1837</v>
      </c>
      <c r="B1466" s="49">
        <v>46100</v>
      </c>
      <c r="C1466" s="44" t="s">
        <v>2054</v>
      </c>
      <c r="D1466" s="44" t="s">
        <v>1832</v>
      </c>
      <c r="E1466" s="44" t="s">
        <v>23</v>
      </c>
      <c r="F1466" s="48">
        <v>26019.000000000004</v>
      </c>
      <c r="G1466" s="44" t="s">
        <v>13</v>
      </c>
      <c r="H1466" s="44" t="s">
        <v>2008</v>
      </c>
      <c r="I1466" s="16" t="s">
        <v>83</v>
      </c>
    </row>
    <row r="1467" spans="1:9" ht="15.75" x14ac:dyDescent="0.25">
      <c r="A1467" s="44" t="s">
        <v>1837</v>
      </c>
      <c r="B1467" s="49">
        <v>46104</v>
      </c>
      <c r="C1467" s="44" t="s">
        <v>2055</v>
      </c>
      <c r="D1467" s="44" t="s">
        <v>14</v>
      </c>
      <c r="E1467" s="44" t="s">
        <v>10</v>
      </c>
      <c r="F1467" s="48">
        <v>43.103448275862071</v>
      </c>
      <c r="G1467" s="44" t="s">
        <v>8</v>
      </c>
      <c r="H1467" s="44"/>
      <c r="I1467" s="16" t="s">
        <v>83</v>
      </c>
    </row>
    <row r="1468" spans="1:9" ht="15.75" x14ac:dyDescent="0.25">
      <c r="A1468" s="44" t="s">
        <v>1837</v>
      </c>
      <c r="B1468" s="49">
        <v>46104</v>
      </c>
      <c r="C1468" s="44" t="s">
        <v>2056</v>
      </c>
      <c r="D1468" s="44" t="s">
        <v>14</v>
      </c>
      <c r="E1468" s="44" t="s">
        <v>10</v>
      </c>
      <c r="F1468" s="48">
        <v>129.31034482758622</v>
      </c>
      <c r="G1468" s="44" t="s">
        <v>8</v>
      </c>
      <c r="H1468" s="44"/>
      <c r="I1468" s="16" t="s">
        <v>83</v>
      </c>
    </row>
    <row r="1469" spans="1:9" ht="15.75" x14ac:dyDescent="0.25">
      <c r="A1469" s="44" t="s">
        <v>1837</v>
      </c>
      <c r="B1469" s="49">
        <v>46104</v>
      </c>
      <c r="C1469" s="44" t="s">
        <v>2057</v>
      </c>
      <c r="D1469" s="44" t="s">
        <v>38</v>
      </c>
      <c r="E1469" s="44" t="s">
        <v>27</v>
      </c>
      <c r="F1469" s="48">
        <v>909.07758620689663</v>
      </c>
      <c r="G1469" s="44" t="s">
        <v>13</v>
      </c>
      <c r="H1469" s="44"/>
      <c r="I1469" s="16" t="s">
        <v>83</v>
      </c>
    </row>
    <row r="1470" spans="1:9" ht="15.75" x14ac:dyDescent="0.25">
      <c r="A1470" s="44" t="s">
        <v>1837</v>
      </c>
      <c r="B1470" s="49">
        <v>46104</v>
      </c>
      <c r="C1470" s="44" t="s">
        <v>2058</v>
      </c>
      <c r="D1470" s="44" t="s">
        <v>38</v>
      </c>
      <c r="E1470" s="44" t="s">
        <v>27</v>
      </c>
      <c r="F1470" s="48">
        <v>930.41379310344837</v>
      </c>
      <c r="G1470" s="44" t="s">
        <v>13</v>
      </c>
      <c r="H1470" s="44"/>
      <c r="I1470" s="16" t="s">
        <v>83</v>
      </c>
    </row>
    <row r="1471" spans="1:9" ht="15.75" x14ac:dyDescent="0.25">
      <c r="A1471" s="44" t="s">
        <v>1837</v>
      </c>
      <c r="B1471" s="49">
        <v>46104</v>
      </c>
      <c r="C1471" s="44" t="s">
        <v>2059</v>
      </c>
      <c r="D1471" s="44" t="s">
        <v>38</v>
      </c>
      <c r="E1471" s="44" t="s">
        <v>27</v>
      </c>
      <c r="F1471" s="48">
        <v>919.91379310344826</v>
      </c>
      <c r="G1471" s="44" t="s">
        <v>13</v>
      </c>
      <c r="H1471" s="44"/>
      <c r="I1471" s="16" t="s">
        <v>83</v>
      </c>
    </row>
    <row r="1472" spans="1:9" ht="15.75" x14ac:dyDescent="0.25">
      <c r="A1472" s="44" t="s">
        <v>1837</v>
      </c>
      <c r="B1472" s="49">
        <v>46104</v>
      </c>
      <c r="C1472" s="44" t="s">
        <v>2060</v>
      </c>
      <c r="D1472" s="44" t="s">
        <v>38</v>
      </c>
      <c r="E1472" s="44" t="s">
        <v>27</v>
      </c>
      <c r="F1472" s="48">
        <v>909.07758620689663</v>
      </c>
      <c r="G1472" s="44" t="s">
        <v>13</v>
      </c>
      <c r="H1472" s="44"/>
      <c r="I1472" s="16" t="s">
        <v>83</v>
      </c>
    </row>
    <row r="1473" spans="1:9" ht="15.75" x14ac:dyDescent="0.25">
      <c r="A1473" s="44" t="s">
        <v>1837</v>
      </c>
      <c r="B1473" s="49">
        <v>46104</v>
      </c>
      <c r="C1473" s="44" t="s">
        <v>2061</v>
      </c>
      <c r="D1473" s="44" t="s">
        <v>14</v>
      </c>
      <c r="E1473" s="44" t="s">
        <v>18</v>
      </c>
      <c r="F1473" s="48">
        <v>431.02586206896558</v>
      </c>
      <c r="G1473" s="44" t="s">
        <v>8</v>
      </c>
      <c r="H1473" s="44"/>
      <c r="I1473" s="16" t="s">
        <v>83</v>
      </c>
    </row>
    <row r="1474" spans="1:9" ht="15.75" x14ac:dyDescent="0.25">
      <c r="A1474" s="44" t="s">
        <v>1837</v>
      </c>
      <c r="B1474" s="49">
        <v>46104</v>
      </c>
      <c r="C1474" s="44" t="s">
        <v>2062</v>
      </c>
      <c r="D1474" s="44" t="s">
        <v>14</v>
      </c>
      <c r="E1474" s="44" t="s">
        <v>11</v>
      </c>
      <c r="F1474" s="48">
        <v>258.62068965517244</v>
      </c>
      <c r="G1474" s="44" t="s">
        <v>15</v>
      </c>
      <c r="H1474" s="44"/>
      <c r="I1474" s="16" t="s">
        <v>83</v>
      </c>
    </row>
    <row r="1475" spans="1:9" ht="15.75" x14ac:dyDescent="0.25">
      <c r="A1475" s="44" t="s">
        <v>1837</v>
      </c>
      <c r="B1475" s="49">
        <v>46104</v>
      </c>
      <c r="C1475" s="44" t="s">
        <v>2063</v>
      </c>
      <c r="D1475" s="44" t="s">
        <v>1521</v>
      </c>
      <c r="E1475" s="44" t="s">
        <v>23</v>
      </c>
      <c r="F1475" s="48">
        <v>17160</v>
      </c>
      <c r="G1475" s="44" t="s">
        <v>13</v>
      </c>
      <c r="H1475" s="44" t="s">
        <v>51</v>
      </c>
      <c r="I1475" s="16" t="s">
        <v>83</v>
      </c>
    </row>
    <row r="1476" spans="1:9" ht="15.75" x14ac:dyDescent="0.25">
      <c r="A1476" s="44" t="s">
        <v>1837</v>
      </c>
      <c r="B1476" s="49">
        <v>46104</v>
      </c>
      <c r="C1476" s="44" t="s">
        <v>2064</v>
      </c>
      <c r="D1476" s="44" t="s">
        <v>1239</v>
      </c>
      <c r="E1476" s="44" t="s">
        <v>2065</v>
      </c>
      <c r="F1476" s="48">
        <v>1763</v>
      </c>
      <c r="G1476" s="44" t="s">
        <v>968</v>
      </c>
      <c r="H1476" s="44"/>
      <c r="I1476" s="16" t="s">
        <v>83</v>
      </c>
    </row>
    <row r="1477" spans="1:9" ht="15.75" x14ac:dyDescent="0.25">
      <c r="A1477" s="44" t="s">
        <v>1837</v>
      </c>
      <c r="B1477" s="49">
        <v>46104</v>
      </c>
      <c r="C1477" s="44" t="s">
        <v>2066</v>
      </c>
      <c r="D1477" s="44" t="s">
        <v>2067</v>
      </c>
      <c r="E1477" s="44" t="s">
        <v>16</v>
      </c>
      <c r="F1477" s="48">
        <v>2782</v>
      </c>
      <c r="G1477" s="44" t="s">
        <v>968</v>
      </c>
      <c r="H1477" s="44"/>
      <c r="I1477" s="16" t="s">
        <v>83</v>
      </c>
    </row>
    <row r="1478" spans="1:9" ht="15.75" x14ac:dyDescent="0.25">
      <c r="A1478" s="44" t="s">
        <v>1837</v>
      </c>
      <c r="B1478" s="49">
        <v>46105</v>
      </c>
      <c r="C1478" s="44" t="s">
        <v>2068</v>
      </c>
      <c r="D1478" s="44" t="s">
        <v>2069</v>
      </c>
      <c r="E1478" s="44" t="s">
        <v>16</v>
      </c>
      <c r="F1478" s="48">
        <v>20596.000000000004</v>
      </c>
      <c r="G1478" s="44" t="s">
        <v>13</v>
      </c>
      <c r="H1478" s="44"/>
      <c r="I1478" s="16" t="s">
        <v>83</v>
      </c>
    </row>
    <row r="1479" spans="1:9" ht="15.75" x14ac:dyDescent="0.25">
      <c r="A1479" s="44" t="s">
        <v>1837</v>
      </c>
      <c r="B1479" s="49">
        <v>46106</v>
      </c>
      <c r="C1479" s="44" t="s">
        <v>2070</v>
      </c>
      <c r="D1479" s="44" t="s">
        <v>22</v>
      </c>
      <c r="E1479" s="44"/>
      <c r="F1479" s="48">
        <v>0</v>
      </c>
      <c r="G1479" s="44"/>
      <c r="H1479" s="44"/>
      <c r="I1479" s="16" t="s">
        <v>83</v>
      </c>
    </row>
    <row r="1480" spans="1:9" ht="15.75" x14ac:dyDescent="0.25">
      <c r="A1480" s="44" t="s">
        <v>1837</v>
      </c>
      <c r="B1480" s="49">
        <v>46106</v>
      </c>
      <c r="C1480" s="44" t="s">
        <v>2071</v>
      </c>
      <c r="D1480" s="44" t="s">
        <v>2072</v>
      </c>
      <c r="E1480" s="44" t="s">
        <v>18</v>
      </c>
      <c r="F1480" s="48">
        <v>200</v>
      </c>
      <c r="G1480" s="44" t="s">
        <v>968</v>
      </c>
      <c r="H1480" s="44"/>
      <c r="I1480" s="16" t="s">
        <v>83</v>
      </c>
    </row>
    <row r="1481" spans="1:9" ht="15.75" x14ac:dyDescent="0.25">
      <c r="A1481" s="44" t="s">
        <v>1837</v>
      </c>
      <c r="B1481" s="49">
        <v>46106</v>
      </c>
      <c r="C1481" s="44" t="s">
        <v>2073</v>
      </c>
      <c r="D1481" s="44" t="s">
        <v>22</v>
      </c>
      <c r="E1481" s="44" t="s">
        <v>18</v>
      </c>
      <c r="F1481" s="48">
        <v>4212</v>
      </c>
      <c r="G1481" s="44" t="s">
        <v>34</v>
      </c>
      <c r="H1481" s="44"/>
      <c r="I1481" s="16" t="s">
        <v>83</v>
      </c>
    </row>
    <row r="1482" spans="1:9" ht="15.75" x14ac:dyDescent="0.25">
      <c r="A1482" s="44" t="s">
        <v>1837</v>
      </c>
      <c r="B1482" s="49">
        <v>46106</v>
      </c>
      <c r="C1482" s="44" t="s">
        <v>2074</v>
      </c>
      <c r="D1482" s="44" t="s">
        <v>1239</v>
      </c>
      <c r="E1482" s="44" t="s">
        <v>18</v>
      </c>
      <c r="F1482" s="48">
        <v>4059</v>
      </c>
      <c r="G1482" s="44" t="s">
        <v>968</v>
      </c>
      <c r="H1482" s="44"/>
      <c r="I1482" s="16" t="s">
        <v>83</v>
      </c>
    </row>
    <row r="1483" spans="1:9" ht="15.75" x14ac:dyDescent="0.25">
      <c r="A1483" s="44" t="s">
        <v>1837</v>
      </c>
      <c r="B1483" s="49">
        <v>46106</v>
      </c>
      <c r="C1483" s="44" t="s">
        <v>2075</v>
      </c>
      <c r="D1483" s="44" t="s">
        <v>2076</v>
      </c>
      <c r="E1483" s="44" t="s">
        <v>10</v>
      </c>
      <c r="F1483" s="48">
        <v>9270.0000000000018</v>
      </c>
      <c r="G1483" s="44" t="s">
        <v>968</v>
      </c>
      <c r="H1483" s="44"/>
      <c r="I1483" s="16" t="s">
        <v>83</v>
      </c>
    </row>
    <row r="1484" spans="1:9" ht="15.75" x14ac:dyDescent="0.25">
      <c r="A1484" s="44" t="s">
        <v>1837</v>
      </c>
      <c r="B1484" s="49">
        <v>46107</v>
      </c>
      <c r="C1484" s="44" t="s">
        <v>2077</v>
      </c>
      <c r="D1484" s="44" t="s">
        <v>14</v>
      </c>
      <c r="E1484" s="44" t="s">
        <v>16</v>
      </c>
      <c r="F1484" s="48">
        <v>994</v>
      </c>
      <c r="G1484" s="44" t="s">
        <v>15</v>
      </c>
      <c r="H1484" s="44"/>
      <c r="I1484" s="16" t="s">
        <v>83</v>
      </c>
    </row>
    <row r="1485" spans="1:9" ht="15.75" x14ac:dyDescent="0.25">
      <c r="A1485" s="44" t="s">
        <v>1837</v>
      </c>
      <c r="B1485" s="49">
        <v>46107</v>
      </c>
      <c r="C1485" s="44" t="s">
        <v>2078</v>
      </c>
      <c r="D1485" s="44" t="s">
        <v>38</v>
      </c>
      <c r="E1485" s="44" t="s">
        <v>27</v>
      </c>
      <c r="F1485" s="48">
        <v>930.41379310344837</v>
      </c>
      <c r="G1485" s="44" t="s">
        <v>13</v>
      </c>
      <c r="H1485" s="44"/>
      <c r="I1485" s="16" t="s">
        <v>83</v>
      </c>
    </row>
    <row r="1486" spans="1:9" ht="15.75" x14ac:dyDescent="0.25">
      <c r="A1486" s="44" t="s">
        <v>1837</v>
      </c>
      <c r="B1486" s="49">
        <v>46107</v>
      </c>
      <c r="C1486" s="44" t="s">
        <v>2079</v>
      </c>
      <c r="D1486" s="44" t="s">
        <v>38</v>
      </c>
      <c r="E1486" s="44" t="s">
        <v>27</v>
      </c>
      <c r="F1486" s="48">
        <v>919.91379310344826</v>
      </c>
      <c r="G1486" s="44" t="s">
        <v>13</v>
      </c>
      <c r="H1486" s="44"/>
      <c r="I1486" s="16" t="s">
        <v>83</v>
      </c>
    </row>
    <row r="1487" spans="1:9" ht="15.75" x14ac:dyDescent="0.25">
      <c r="A1487" s="44" t="s">
        <v>1837</v>
      </c>
      <c r="B1487" s="49">
        <v>46107</v>
      </c>
      <c r="C1487" s="44" t="s">
        <v>2080</v>
      </c>
      <c r="D1487" s="44" t="s">
        <v>38</v>
      </c>
      <c r="E1487" s="44" t="s">
        <v>27</v>
      </c>
      <c r="F1487" s="48">
        <v>909.07758620689663</v>
      </c>
      <c r="G1487" s="44" t="s">
        <v>13</v>
      </c>
      <c r="H1487" s="44"/>
      <c r="I1487" s="16" t="s">
        <v>83</v>
      </c>
    </row>
    <row r="1488" spans="1:9" ht="15.75" x14ac:dyDescent="0.25">
      <c r="A1488" s="44" t="s">
        <v>1837</v>
      </c>
      <c r="B1488" s="49">
        <v>46108</v>
      </c>
      <c r="C1488" s="44" t="s">
        <v>2081</v>
      </c>
      <c r="D1488" s="44" t="s">
        <v>14</v>
      </c>
      <c r="E1488" s="44" t="s">
        <v>11</v>
      </c>
      <c r="F1488" s="48">
        <v>258.62068965517244</v>
      </c>
      <c r="G1488" s="44" t="s">
        <v>15</v>
      </c>
      <c r="H1488" s="44"/>
      <c r="I1488" s="16" t="s">
        <v>83</v>
      </c>
    </row>
    <row r="1489" spans="1:9" ht="15.75" x14ac:dyDescent="0.25">
      <c r="A1489" s="44" t="s">
        <v>1837</v>
      </c>
      <c r="B1489" s="49">
        <v>46108</v>
      </c>
      <c r="C1489" s="44" t="s">
        <v>2082</v>
      </c>
      <c r="D1489" s="44" t="s">
        <v>14</v>
      </c>
      <c r="E1489" s="44" t="s">
        <v>10</v>
      </c>
      <c r="F1489" s="48">
        <v>344.82758620689657</v>
      </c>
      <c r="G1489" s="44" t="s">
        <v>968</v>
      </c>
      <c r="H1489" s="44"/>
      <c r="I1489" s="16" t="s">
        <v>83</v>
      </c>
    </row>
    <row r="1490" spans="1:9" ht="15.75" x14ac:dyDescent="0.25">
      <c r="A1490" s="44" t="s">
        <v>1837</v>
      </c>
      <c r="B1490" s="49">
        <v>46109</v>
      </c>
      <c r="C1490" s="44" t="s">
        <v>2083</v>
      </c>
      <c r="D1490" s="44" t="s">
        <v>2084</v>
      </c>
      <c r="E1490" s="44" t="s">
        <v>10</v>
      </c>
      <c r="F1490" s="48">
        <v>646.55172413793105</v>
      </c>
      <c r="G1490" s="44" t="s">
        <v>15</v>
      </c>
      <c r="H1490" s="44"/>
      <c r="I1490" s="16" t="s">
        <v>83</v>
      </c>
    </row>
    <row r="1491" spans="1:9" ht="15.75" x14ac:dyDescent="0.25">
      <c r="A1491" s="44" t="s">
        <v>1837</v>
      </c>
      <c r="B1491" s="49">
        <v>46109</v>
      </c>
      <c r="C1491" s="44" t="s">
        <v>2085</v>
      </c>
      <c r="D1491" s="44" t="s">
        <v>14</v>
      </c>
      <c r="E1491" s="44" t="s">
        <v>16</v>
      </c>
      <c r="F1491" s="48">
        <v>967.72413793103453</v>
      </c>
      <c r="G1491" s="44" t="s">
        <v>15</v>
      </c>
      <c r="H1491" s="44"/>
      <c r="I1491" s="16" t="s">
        <v>83</v>
      </c>
    </row>
    <row r="1492" spans="1:9" ht="15.75" x14ac:dyDescent="0.25">
      <c r="A1492" s="44" t="s">
        <v>1837</v>
      </c>
      <c r="B1492" s="49">
        <v>46109</v>
      </c>
      <c r="C1492" s="44" t="s">
        <v>2086</v>
      </c>
      <c r="D1492" s="44" t="s">
        <v>14</v>
      </c>
      <c r="E1492" s="44" t="s">
        <v>20</v>
      </c>
      <c r="F1492" s="48">
        <v>1810.3534482758623</v>
      </c>
      <c r="G1492" s="44" t="s">
        <v>8</v>
      </c>
      <c r="H1492" s="44" t="s">
        <v>2087</v>
      </c>
      <c r="I1492" s="16" t="s">
        <v>83</v>
      </c>
    </row>
    <row r="1493" spans="1:9" ht="15.75" x14ac:dyDescent="0.25">
      <c r="A1493" s="44" t="s">
        <v>1837</v>
      </c>
      <c r="B1493" s="49">
        <v>46112</v>
      </c>
      <c r="C1493" s="44" t="s">
        <v>2088</v>
      </c>
      <c r="D1493" s="44" t="s">
        <v>2089</v>
      </c>
      <c r="E1493" s="44" t="s">
        <v>16</v>
      </c>
      <c r="F1493" s="48">
        <v>2356</v>
      </c>
      <c r="G1493" s="44" t="s">
        <v>15</v>
      </c>
      <c r="H1493" s="44"/>
      <c r="I1493" s="16" t="s">
        <v>83</v>
      </c>
    </row>
    <row r="1494" spans="1:9" ht="15.75" x14ac:dyDescent="0.25">
      <c r="A1494" s="44" t="s">
        <v>1837</v>
      </c>
      <c r="B1494" s="49">
        <v>46112</v>
      </c>
      <c r="C1494" s="44" t="s">
        <v>2090</v>
      </c>
      <c r="D1494" s="44" t="s">
        <v>14</v>
      </c>
      <c r="E1494" s="44" t="s">
        <v>10</v>
      </c>
      <c r="F1494" s="48">
        <v>344.82758620689657</v>
      </c>
      <c r="G1494" s="44" t="s">
        <v>968</v>
      </c>
      <c r="H1494" s="44"/>
      <c r="I1494" s="16" t="s">
        <v>83</v>
      </c>
    </row>
    <row r="1495" spans="1:9" ht="15.75" x14ac:dyDescent="0.25">
      <c r="A1495" s="44" t="s">
        <v>1837</v>
      </c>
      <c r="B1495" s="49">
        <v>46112</v>
      </c>
      <c r="C1495" s="44" t="s">
        <v>2091</v>
      </c>
      <c r="D1495" s="44" t="s">
        <v>14</v>
      </c>
      <c r="E1495" s="44" t="s">
        <v>10</v>
      </c>
      <c r="F1495" s="48">
        <v>396.55172413793105</v>
      </c>
      <c r="G1495" s="44" t="s">
        <v>968</v>
      </c>
      <c r="H1495" s="44"/>
      <c r="I1495" s="16" t="s">
        <v>83</v>
      </c>
    </row>
    <row r="1496" spans="1:9" ht="15.75" x14ac:dyDescent="0.25">
      <c r="A1496" s="44" t="s">
        <v>1837</v>
      </c>
      <c r="B1496" s="49">
        <v>46112</v>
      </c>
      <c r="C1496" s="44" t="s">
        <v>2092</v>
      </c>
      <c r="D1496" s="44" t="s">
        <v>14</v>
      </c>
      <c r="E1496" s="44" t="s">
        <v>10</v>
      </c>
      <c r="F1496" s="48">
        <v>1465.5172413793105</v>
      </c>
      <c r="G1496" s="44" t="s">
        <v>968</v>
      </c>
      <c r="H1496" s="44"/>
      <c r="I1496" s="16" t="s">
        <v>83</v>
      </c>
    </row>
    <row r="1497" spans="1:9" ht="15.75" x14ac:dyDescent="0.25">
      <c r="A1497" s="44" t="s">
        <v>1837</v>
      </c>
      <c r="B1497" s="49">
        <v>46112</v>
      </c>
      <c r="C1497" s="44" t="s">
        <v>2093</v>
      </c>
      <c r="D1497" s="44" t="s">
        <v>22</v>
      </c>
      <c r="E1497" s="44" t="s">
        <v>10</v>
      </c>
      <c r="F1497" s="48">
        <v>4518</v>
      </c>
      <c r="G1497" s="44" t="s">
        <v>34</v>
      </c>
      <c r="H1497" s="44"/>
      <c r="I1497" s="16" t="s">
        <v>83</v>
      </c>
    </row>
    <row r="1498" spans="1:9" ht="15.75" x14ac:dyDescent="0.25">
      <c r="A1498" s="44" t="s">
        <v>1837</v>
      </c>
      <c r="B1498" s="49">
        <v>46112</v>
      </c>
      <c r="C1498" s="44" t="s">
        <v>2094</v>
      </c>
      <c r="D1498" s="44" t="s">
        <v>22</v>
      </c>
      <c r="E1498" s="44" t="s">
        <v>18</v>
      </c>
      <c r="F1498" s="48">
        <v>171.00000000000003</v>
      </c>
      <c r="G1498" s="44" t="s">
        <v>34</v>
      </c>
      <c r="H1498" s="44"/>
      <c r="I1498" s="16" t="s">
        <v>83</v>
      </c>
    </row>
    <row r="1499" spans="1:9" ht="15.75" x14ac:dyDescent="0.25">
      <c r="A1499" s="44" t="s">
        <v>1837</v>
      </c>
      <c r="B1499" s="49">
        <v>46112</v>
      </c>
      <c r="C1499" s="44" t="s">
        <v>2095</v>
      </c>
      <c r="D1499" s="44" t="s">
        <v>2096</v>
      </c>
      <c r="E1499" s="44" t="s">
        <v>16</v>
      </c>
      <c r="F1499" s="48">
        <v>17332</v>
      </c>
      <c r="G1499" s="44" t="s">
        <v>13</v>
      </c>
      <c r="H1499" s="44"/>
      <c r="I1499" s="16" t="s">
        <v>83</v>
      </c>
    </row>
    <row r="1500" spans="1:9" ht="15.75" x14ac:dyDescent="0.25">
      <c r="A1500" s="44" t="s">
        <v>1837</v>
      </c>
      <c r="B1500" s="49">
        <v>46112</v>
      </c>
      <c r="C1500" s="44" t="s">
        <v>2097</v>
      </c>
      <c r="D1500" s="44" t="s">
        <v>14</v>
      </c>
      <c r="E1500" s="44" t="s">
        <v>10</v>
      </c>
      <c r="F1500" s="48">
        <v>3280.1724137931037</v>
      </c>
      <c r="G1500" s="44" t="s">
        <v>968</v>
      </c>
      <c r="H1500" s="44"/>
      <c r="I1500" s="16" t="s">
        <v>83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A2F9-DD89-427E-AD30-6CA1C835DC6A}">
  <dimension ref="A1:I24"/>
  <sheetViews>
    <sheetView workbookViewId="0">
      <selection sqref="A1:XFD24"/>
    </sheetView>
  </sheetViews>
  <sheetFormatPr baseColWidth="10" defaultRowHeight="15" x14ac:dyDescent="0.25"/>
  <sheetData>
    <row r="1" spans="1:9" x14ac:dyDescent="0.25">
      <c r="A1" s="1" t="s">
        <v>1</v>
      </c>
      <c r="B1" s="2" t="s">
        <v>0</v>
      </c>
      <c r="C1" s="1" t="s">
        <v>5</v>
      </c>
      <c r="D1" s="1" t="s">
        <v>2</v>
      </c>
      <c r="E1" s="3" t="s">
        <v>6</v>
      </c>
      <c r="F1" s="4" t="s">
        <v>7</v>
      </c>
      <c r="G1" s="4" t="s">
        <v>1908</v>
      </c>
      <c r="H1" t="s">
        <v>1907</v>
      </c>
    </row>
    <row r="2" spans="1:9" x14ac:dyDescent="0.25">
      <c r="A2" t="s">
        <v>1837</v>
      </c>
      <c r="B2" s="22">
        <v>46001</v>
      </c>
      <c r="C2" t="s">
        <v>1768</v>
      </c>
      <c r="D2" t="s">
        <v>1769</v>
      </c>
      <c r="E2" s="23">
        <v>6519</v>
      </c>
      <c r="F2" s="23"/>
      <c r="G2" s="22">
        <v>46031</v>
      </c>
      <c r="H2" s="22">
        <v>46121</v>
      </c>
    </row>
    <row r="3" spans="1:9" x14ac:dyDescent="0.25">
      <c r="A3" t="s">
        <v>1837</v>
      </c>
      <c r="B3" s="22">
        <v>46382</v>
      </c>
      <c r="C3" t="s">
        <v>1794</v>
      </c>
      <c r="D3" t="s">
        <v>1811</v>
      </c>
      <c r="E3" s="23">
        <v>88.74</v>
      </c>
      <c r="F3" s="23"/>
      <c r="G3" s="22">
        <v>46412</v>
      </c>
    </row>
    <row r="4" spans="1:9" x14ac:dyDescent="0.25">
      <c r="A4" t="s">
        <v>1837</v>
      </c>
      <c r="B4" s="22">
        <v>46034</v>
      </c>
      <c r="C4" t="s">
        <v>1812</v>
      </c>
      <c r="D4" t="s">
        <v>38</v>
      </c>
      <c r="E4" s="23">
        <v>1054.53</v>
      </c>
      <c r="F4" s="23"/>
      <c r="G4" s="22">
        <v>46064</v>
      </c>
    </row>
    <row r="5" spans="1:9" x14ac:dyDescent="0.25">
      <c r="A5" t="s">
        <v>1837</v>
      </c>
      <c r="B5" s="22">
        <v>46045</v>
      </c>
      <c r="C5" t="s">
        <v>1813</v>
      </c>
      <c r="D5" t="s">
        <v>1814</v>
      </c>
      <c r="E5" s="23">
        <v>4226.34</v>
      </c>
      <c r="F5" s="23"/>
      <c r="G5" s="22">
        <v>46075</v>
      </c>
    </row>
    <row r="6" spans="1:9" x14ac:dyDescent="0.25">
      <c r="A6" t="s">
        <v>1837</v>
      </c>
      <c r="B6" s="22">
        <v>46049</v>
      </c>
      <c r="C6" t="s">
        <v>1815</v>
      </c>
      <c r="D6" t="s">
        <v>1811</v>
      </c>
      <c r="E6" s="23">
        <v>2088</v>
      </c>
      <c r="F6" s="23"/>
      <c r="G6" s="22">
        <v>46079</v>
      </c>
      <c r="H6" s="22">
        <v>46121</v>
      </c>
    </row>
    <row r="7" spans="1:9" x14ac:dyDescent="0.25">
      <c r="A7" t="s">
        <v>1837</v>
      </c>
      <c r="B7" s="22">
        <v>46062</v>
      </c>
      <c r="C7" t="s">
        <v>1816</v>
      </c>
      <c r="D7" t="s">
        <v>1811</v>
      </c>
      <c r="E7" s="23">
        <v>6190.92</v>
      </c>
      <c r="F7" s="23"/>
      <c r="G7" s="22">
        <v>46092</v>
      </c>
    </row>
    <row r="8" spans="1:9" x14ac:dyDescent="0.25">
      <c r="A8" t="s">
        <v>1837</v>
      </c>
      <c r="B8" s="22">
        <v>46069</v>
      </c>
      <c r="C8" t="s">
        <v>1817</v>
      </c>
      <c r="D8" t="s">
        <v>1521</v>
      </c>
      <c r="E8" s="43">
        <v>19905.599999999999</v>
      </c>
      <c r="F8" s="43"/>
      <c r="G8" s="22">
        <v>46099</v>
      </c>
      <c r="I8" t="s">
        <v>1909</v>
      </c>
    </row>
    <row r="9" spans="1:9" x14ac:dyDescent="0.25">
      <c r="A9" t="s">
        <v>1837</v>
      </c>
      <c r="B9" s="22">
        <v>46073</v>
      </c>
      <c r="C9" t="s">
        <v>1818</v>
      </c>
      <c r="D9" t="s">
        <v>1819</v>
      </c>
      <c r="E9" s="23">
        <v>3184.78</v>
      </c>
      <c r="F9" s="23"/>
      <c r="G9" s="22">
        <v>46103</v>
      </c>
    </row>
    <row r="10" spans="1:9" x14ac:dyDescent="0.25">
      <c r="A10" t="s">
        <v>1837</v>
      </c>
      <c r="B10" s="22">
        <v>46073</v>
      </c>
      <c r="C10" t="s">
        <v>1820</v>
      </c>
      <c r="D10" t="s">
        <v>38</v>
      </c>
      <c r="E10" s="23">
        <v>930.41</v>
      </c>
      <c r="F10" s="23"/>
      <c r="G10" s="22">
        <v>46103</v>
      </c>
    </row>
    <row r="11" spans="1:9" x14ac:dyDescent="0.25">
      <c r="A11" t="s">
        <v>1837</v>
      </c>
      <c r="B11" s="22">
        <v>46074</v>
      </c>
      <c r="C11" t="s">
        <v>1821</v>
      </c>
      <c r="D11" t="s">
        <v>38</v>
      </c>
      <c r="E11" s="23">
        <v>1054.53</v>
      </c>
      <c r="F11" s="23"/>
      <c r="G11" s="22">
        <v>46104</v>
      </c>
    </row>
    <row r="12" spans="1:9" x14ac:dyDescent="0.25">
      <c r="A12" t="s">
        <v>1837</v>
      </c>
      <c r="B12" s="22">
        <v>46074</v>
      </c>
      <c r="C12" t="s">
        <v>1822</v>
      </c>
      <c r="D12" t="s">
        <v>38</v>
      </c>
      <c r="E12" s="23">
        <v>1067.0999999999999</v>
      </c>
      <c r="F12" s="23"/>
      <c r="G12" s="42">
        <v>46104</v>
      </c>
    </row>
    <row r="13" spans="1:9" x14ac:dyDescent="0.25">
      <c r="A13" t="s">
        <v>1837</v>
      </c>
      <c r="B13" s="22">
        <v>46078</v>
      </c>
      <c r="C13" t="s">
        <v>1823</v>
      </c>
      <c r="D13" t="s">
        <v>1824</v>
      </c>
      <c r="E13" s="23">
        <v>3172.04</v>
      </c>
      <c r="F13" s="23"/>
      <c r="G13" s="22">
        <v>46108</v>
      </c>
    </row>
    <row r="14" spans="1:9" x14ac:dyDescent="0.25">
      <c r="A14" t="s">
        <v>1837</v>
      </c>
      <c r="B14" s="22">
        <v>46080</v>
      </c>
      <c r="C14" t="s">
        <v>1825</v>
      </c>
      <c r="D14" t="s">
        <v>1811</v>
      </c>
      <c r="E14" s="23">
        <v>121206.08</v>
      </c>
      <c r="F14" s="23"/>
      <c r="G14" s="22">
        <v>46110</v>
      </c>
      <c r="H14" s="22">
        <v>46121</v>
      </c>
    </row>
    <row r="15" spans="1:9" x14ac:dyDescent="0.25">
      <c r="A15" t="s">
        <v>1837</v>
      </c>
      <c r="B15" s="22">
        <v>46080</v>
      </c>
      <c r="C15" t="s">
        <v>1826</v>
      </c>
      <c r="D15" t="s">
        <v>1811</v>
      </c>
      <c r="E15" s="23">
        <v>4873.04</v>
      </c>
      <c r="F15" s="23"/>
      <c r="G15" s="22">
        <v>46110</v>
      </c>
      <c r="H15" s="22">
        <v>46121</v>
      </c>
    </row>
    <row r="16" spans="1:9" x14ac:dyDescent="0.25">
      <c r="A16" t="s">
        <v>1837</v>
      </c>
      <c r="B16" s="22">
        <v>46080</v>
      </c>
      <c r="C16" t="s">
        <v>1827</v>
      </c>
      <c r="D16" t="s">
        <v>1811</v>
      </c>
      <c r="E16" s="23">
        <v>5240.88</v>
      </c>
      <c r="F16" s="23"/>
      <c r="G16" s="22">
        <v>46110</v>
      </c>
      <c r="H16" s="22">
        <v>46121</v>
      </c>
    </row>
    <row r="17" spans="1:8" x14ac:dyDescent="0.25">
      <c r="A17" t="s">
        <v>1837</v>
      </c>
      <c r="B17" s="22">
        <v>46080</v>
      </c>
      <c r="C17" t="s">
        <v>1828</v>
      </c>
      <c r="D17" t="s">
        <v>1811</v>
      </c>
      <c r="E17" s="23">
        <v>2996.28</v>
      </c>
      <c r="F17" s="23"/>
      <c r="G17" s="22">
        <v>46110</v>
      </c>
    </row>
    <row r="18" spans="1:8" x14ac:dyDescent="0.25">
      <c r="A18" t="s">
        <v>1837</v>
      </c>
      <c r="B18" s="22">
        <v>46080</v>
      </c>
      <c r="C18" t="s">
        <v>1829</v>
      </c>
      <c r="D18" t="s">
        <v>1811</v>
      </c>
      <c r="E18" s="23">
        <v>92220</v>
      </c>
      <c r="F18" s="23"/>
      <c r="G18" s="22">
        <v>46110</v>
      </c>
    </row>
    <row r="19" spans="1:8" x14ac:dyDescent="0.25">
      <c r="A19" t="s">
        <v>1837</v>
      </c>
      <c r="B19" s="22">
        <v>46083</v>
      </c>
      <c r="C19" t="s">
        <v>1830</v>
      </c>
      <c r="D19" t="s">
        <v>1176</v>
      </c>
      <c r="E19" s="23">
        <v>16879.16</v>
      </c>
      <c r="F19" s="23"/>
      <c r="G19" s="42">
        <v>46113</v>
      </c>
    </row>
    <row r="20" spans="1:8" x14ac:dyDescent="0.25">
      <c r="A20" t="s">
        <v>1837</v>
      </c>
      <c r="B20" s="22">
        <v>46084</v>
      </c>
      <c r="C20" t="s">
        <v>1831</v>
      </c>
      <c r="D20" t="s">
        <v>1832</v>
      </c>
      <c r="E20" s="23">
        <v>30182.04</v>
      </c>
      <c r="F20" s="23"/>
      <c r="G20" s="22">
        <v>46114</v>
      </c>
    </row>
    <row r="21" spans="1:8" x14ac:dyDescent="0.25">
      <c r="A21" t="s">
        <v>1837</v>
      </c>
      <c r="B21" s="22">
        <v>46085</v>
      </c>
      <c r="C21" t="s">
        <v>1833</v>
      </c>
      <c r="D21" t="s">
        <v>1824</v>
      </c>
      <c r="E21" s="23">
        <v>2016.66</v>
      </c>
      <c r="F21" s="23"/>
      <c r="G21" s="22">
        <v>46115</v>
      </c>
    </row>
    <row r="22" spans="1:8" x14ac:dyDescent="0.25">
      <c r="A22" t="s">
        <v>1837</v>
      </c>
      <c r="B22" s="22">
        <v>46091</v>
      </c>
      <c r="C22" t="s">
        <v>1834</v>
      </c>
      <c r="D22" t="s">
        <v>1303</v>
      </c>
      <c r="E22" s="23">
        <v>9800.5300000000007</v>
      </c>
      <c r="F22" s="23"/>
      <c r="G22" s="22">
        <v>46121</v>
      </c>
    </row>
    <row r="23" spans="1:8" x14ac:dyDescent="0.25">
      <c r="A23" t="s">
        <v>1837</v>
      </c>
      <c r="B23" s="22">
        <v>46092</v>
      </c>
      <c r="C23" t="s">
        <v>1835</v>
      </c>
      <c r="D23" t="s">
        <v>1811</v>
      </c>
      <c r="E23" s="43">
        <v>313.2</v>
      </c>
      <c r="F23" s="23"/>
      <c r="G23" s="22">
        <v>46122</v>
      </c>
      <c r="H23" s="22">
        <v>46121</v>
      </c>
    </row>
    <row r="24" spans="1:8" x14ac:dyDescent="0.25">
      <c r="A24" t="s">
        <v>1837</v>
      </c>
      <c r="B24" s="22">
        <v>46093</v>
      </c>
      <c r="C24" t="s">
        <v>1836</v>
      </c>
      <c r="D24" t="s">
        <v>1521</v>
      </c>
      <c r="E24" s="23">
        <v>21607.32</v>
      </c>
      <c r="F24" s="23"/>
      <c r="G24" s="22">
        <v>46123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9690-199F-46A6-93CE-8159A5431F8A}">
  <dimension ref="A1:H10"/>
  <sheetViews>
    <sheetView workbookViewId="0">
      <selection activeCell="B14" sqref="B14"/>
    </sheetView>
  </sheetViews>
  <sheetFormatPr baseColWidth="10" defaultRowHeight="15" x14ac:dyDescent="0.25"/>
  <sheetData>
    <row r="1" spans="1:8" x14ac:dyDescent="0.25">
      <c r="A1" s="1" t="s">
        <v>1</v>
      </c>
      <c r="B1" s="2" t="s">
        <v>0</v>
      </c>
      <c r="C1" s="1" t="s">
        <v>5</v>
      </c>
      <c r="D1" s="1" t="s">
        <v>2</v>
      </c>
      <c r="E1" s="3" t="s">
        <v>6</v>
      </c>
      <c r="F1" s="4" t="s">
        <v>7</v>
      </c>
      <c r="G1" s="4" t="s">
        <v>1908</v>
      </c>
      <c r="H1" t="s">
        <v>1907</v>
      </c>
    </row>
    <row r="2" spans="1:8" x14ac:dyDescent="0.25">
      <c r="A2" t="s">
        <v>1837</v>
      </c>
      <c r="B2" s="22">
        <v>45351</v>
      </c>
      <c r="C2" t="s">
        <v>254</v>
      </c>
      <c r="D2" t="s">
        <v>1810</v>
      </c>
      <c r="E2" s="23">
        <v>951.2</v>
      </c>
      <c r="F2" s="22"/>
      <c r="G2" s="22">
        <v>45381</v>
      </c>
    </row>
    <row r="3" spans="1:8" x14ac:dyDescent="0.25">
      <c r="A3" t="s">
        <v>1837</v>
      </c>
      <c r="B3" s="22">
        <v>45727</v>
      </c>
      <c r="C3" t="s">
        <v>1094</v>
      </c>
      <c r="D3" t="s">
        <v>32</v>
      </c>
      <c r="E3" s="23">
        <v>892.76</v>
      </c>
      <c r="F3" s="22"/>
      <c r="G3" s="22">
        <v>45757</v>
      </c>
    </row>
    <row r="4" spans="1:8" x14ac:dyDescent="0.25">
      <c r="A4" t="s">
        <v>1837</v>
      </c>
      <c r="B4" s="22">
        <v>45771</v>
      </c>
      <c r="C4" t="s">
        <v>1218</v>
      </c>
      <c r="D4" t="s">
        <v>28</v>
      </c>
      <c r="E4" s="23">
        <v>14262.62</v>
      </c>
      <c r="F4" s="22"/>
      <c r="G4" s="22">
        <v>45801</v>
      </c>
    </row>
    <row r="5" spans="1:8" x14ac:dyDescent="0.25">
      <c r="A5" t="s">
        <v>1837</v>
      </c>
      <c r="B5" s="22">
        <v>45790</v>
      </c>
      <c r="C5" t="s">
        <v>1265</v>
      </c>
      <c r="D5" t="s">
        <v>1810</v>
      </c>
      <c r="E5" s="23">
        <v>1912.84</v>
      </c>
      <c r="F5" s="22"/>
      <c r="G5" s="22">
        <v>45820</v>
      </c>
    </row>
    <row r="6" spans="1:8" x14ac:dyDescent="0.25">
      <c r="A6" t="s">
        <v>1837</v>
      </c>
      <c r="B6" s="22">
        <v>45917</v>
      </c>
      <c r="C6" t="s">
        <v>1557</v>
      </c>
      <c r="D6" t="s">
        <v>28</v>
      </c>
      <c r="E6" s="23">
        <v>2255.04</v>
      </c>
      <c r="F6" s="22"/>
      <c r="G6" s="22">
        <v>45947</v>
      </c>
    </row>
    <row r="7" spans="1:8" x14ac:dyDescent="0.25">
      <c r="A7" t="s">
        <v>1837</v>
      </c>
      <c r="B7" s="22">
        <v>44901</v>
      </c>
      <c r="C7" t="s">
        <v>1808</v>
      </c>
      <c r="D7" t="s">
        <v>1809</v>
      </c>
      <c r="E7" s="23">
        <v>1740</v>
      </c>
      <c r="F7" s="22"/>
      <c r="G7" s="22">
        <v>44931</v>
      </c>
    </row>
    <row r="8" spans="1:8" x14ac:dyDescent="0.25">
      <c r="A8" t="s">
        <v>1837</v>
      </c>
      <c r="B8" s="22">
        <v>45953</v>
      </c>
      <c r="C8" t="s">
        <v>1633</v>
      </c>
      <c r="D8" t="s">
        <v>1439</v>
      </c>
      <c r="E8" s="23">
        <v>406</v>
      </c>
      <c r="F8" s="22"/>
      <c r="G8" s="22">
        <v>45983</v>
      </c>
    </row>
    <row r="9" spans="1:8" x14ac:dyDescent="0.25">
      <c r="A9" t="s">
        <v>1837</v>
      </c>
      <c r="B9" s="22">
        <v>45967</v>
      </c>
      <c r="C9" t="s">
        <v>1666</v>
      </c>
      <c r="D9" t="s">
        <v>1521</v>
      </c>
      <c r="E9" s="23">
        <v>1600.8</v>
      </c>
      <c r="F9" s="22"/>
      <c r="G9" s="22">
        <v>45997</v>
      </c>
    </row>
    <row r="10" spans="1:8" x14ac:dyDescent="0.25">
      <c r="A10" t="s">
        <v>1837</v>
      </c>
      <c r="B10" s="22">
        <v>45987</v>
      </c>
      <c r="C10" t="s">
        <v>1727</v>
      </c>
      <c r="D10" t="s">
        <v>53</v>
      </c>
      <c r="E10" s="23">
        <v>1600.8</v>
      </c>
      <c r="F10" s="22"/>
      <c r="G10" s="22">
        <v>46017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E036-B91F-4CE7-A1E8-68D0FCF96E8F}">
  <dimension ref="A1:N88"/>
  <sheetViews>
    <sheetView tabSelected="1" workbookViewId="0">
      <selection activeCell="E40" sqref="E40"/>
    </sheetView>
  </sheetViews>
  <sheetFormatPr baseColWidth="10" defaultRowHeight="15" x14ac:dyDescent="0.25"/>
  <cols>
    <col min="4" max="4" width="5.7109375" bestFit="1" customWidth="1"/>
    <col min="5" max="5" width="13.85546875" bestFit="1" customWidth="1"/>
    <col min="6" max="6" width="12.7109375" bestFit="1" customWidth="1"/>
  </cols>
  <sheetData>
    <row r="1" spans="1:14" s="24" customFormat="1" ht="33.950000000000003" customHeight="1" thickBot="1" x14ac:dyDescent="0.25">
      <c r="A1" s="25" t="s">
        <v>1838</v>
      </c>
      <c r="B1" s="26" t="s">
        <v>1839</v>
      </c>
      <c r="C1" s="27" t="s">
        <v>1840</v>
      </c>
      <c r="D1" s="28" t="s">
        <v>1806</v>
      </c>
      <c r="E1" s="29" t="s">
        <v>1841</v>
      </c>
      <c r="F1" s="29" t="s">
        <v>1842</v>
      </c>
      <c r="G1" s="29" t="s">
        <v>1843</v>
      </c>
      <c r="H1" s="29" t="s">
        <v>1844</v>
      </c>
      <c r="I1" s="27" t="s">
        <v>1845</v>
      </c>
      <c r="J1" s="30" t="s">
        <v>1807</v>
      </c>
      <c r="K1" s="30"/>
      <c r="L1" s="31" t="s">
        <v>1846</v>
      </c>
      <c r="M1" s="31" t="s">
        <v>1806</v>
      </c>
    </row>
    <row r="2" spans="1:14" s="24" customFormat="1" ht="14.25" hidden="1" x14ac:dyDescent="0.2">
      <c r="A2" s="40">
        <v>2830331721</v>
      </c>
      <c r="B2" s="32" t="s">
        <v>1847</v>
      </c>
      <c r="C2" s="33">
        <v>46024</v>
      </c>
      <c r="D2" s="34">
        <v>1</v>
      </c>
      <c r="E2" s="35">
        <v>19585.439999999999</v>
      </c>
      <c r="F2" s="36">
        <v>19585.439999999999</v>
      </c>
      <c r="G2" s="36">
        <v>0</v>
      </c>
      <c r="H2" s="41" t="s">
        <v>1848</v>
      </c>
      <c r="I2" s="37">
        <v>46053</v>
      </c>
      <c r="J2" s="38">
        <v>-48</v>
      </c>
      <c r="K2" s="38"/>
      <c r="L2" s="39"/>
      <c r="N2" s="24" t="s">
        <v>1849</v>
      </c>
    </row>
    <row r="3" spans="1:14" s="24" customFormat="1" ht="14.25" hidden="1" x14ac:dyDescent="0.2">
      <c r="A3" s="40">
        <v>2830331961</v>
      </c>
      <c r="B3" s="32" t="s">
        <v>1847</v>
      </c>
      <c r="C3" s="33">
        <v>46028</v>
      </c>
      <c r="D3" s="34">
        <v>1</v>
      </c>
      <c r="E3" s="35">
        <v>44.54</v>
      </c>
      <c r="F3" s="36">
        <v>44.54</v>
      </c>
      <c r="G3" s="36">
        <v>0</v>
      </c>
      <c r="H3" s="41" t="s">
        <v>1850</v>
      </c>
      <c r="I3" s="37">
        <v>46057</v>
      </c>
      <c r="J3" s="38">
        <v>-44</v>
      </c>
      <c r="K3" s="38"/>
      <c r="L3" s="39"/>
      <c r="N3" s="24" t="s">
        <v>1851</v>
      </c>
    </row>
    <row r="4" spans="1:14" s="24" customFormat="1" ht="14.25" hidden="1" x14ac:dyDescent="0.2">
      <c r="A4" s="40">
        <v>2830331962</v>
      </c>
      <c r="B4" s="32" t="s">
        <v>1847</v>
      </c>
      <c r="C4" s="33">
        <v>46028</v>
      </c>
      <c r="D4" s="34">
        <v>1</v>
      </c>
      <c r="E4" s="35">
        <v>185.6</v>
      </c>
      <c r="F4" s="36">
        <v>185.6</v>
      </c>
      <c r="G4" s="36">
        <v>0</v>
      </c>
      <c r="H4" s="41" t="s">
        <v>1852</v>
      </c>
      <c r="I4" s="37">
        <v>46057</v>
      </c>
      <c r="J4" s="38">
        <v>-44</v>
      </c>
      <c r="K4" s="38"/>
      <c r="L4" s="39"/>
      <c r="N4" s="24" t="s">
        <v>1853</v>
      </c>
    </row>
    <row r="5" spans="1:14" s="24" customFormat="1" ht="14.25" hidden="1" x14ac:dyDescent="0.2">
      <c r="A5" s="40">
        <v>2830331963</v>
      </c>
      <c r="B5" s="32" t="s">
        <v>1847</v>
      </c>
      <c r="C5" s="33">
        <v>46028</v>
      </c>
      <c r="D5" s="34">
        <v>1</v>
      </c>
      <c r="E5" s="35">
        <v>386.78</v>
      </c>
      <c r="F5" s="36">
        <v>386.78</v>
      </c>
      <c r="G5" s="36">
        <v>0</v>
      </c>
      <c r="H5" s="41" t="s">
        <v>1854</v>
      </c>
      <c r="I5" s="37">
        <v>46057</v>
      </c>
      <c r="J5" s="38">
        <v>-44</v>
      </c>
      <c r="K5" s="38"/>
      <c r="L5" s="39"/>
      <c r="N5" s="24" t="s">
        <v>1853</v>
      </c>
    </row>
    <row r="6" spans="1:14" s="24" customFormat="1" ht="14.25" hidden="1" x14ac:dyDescent="0.2">
      <c r="A6" s="40">
        <v>2830331964</v>
      </c>
      <c r="B6" s="32" t="s">
        <v>1847</v>
      </c>
      <c r="C6" s="33">
        <v>46028</v>
      </c>
      <c r="D6" s="34">
        <v>1</v>
      </c>
      <c r="E6" s="35">
        <v>7.42</v>
      </c>
      <c r="F6" s="36">
        <v>7.42</v>
      </c>
      <c r="G6" s="36">
        <v>0</v>
      </c>
      <c r="H6" s="41" t="s">
        <v>1855</v>
      </c>
      <c r="I6" s="37">
        <v>46057</v>
      </c>
      <c r="J6" s="38">
        <v>-44</v>
      </c>
      <c r="K6" s="38"/>
      <c r="L6" s="39"/>
      <c r="N6" s="24" t="s">
        <v>1853</v>
      </c>
    </row>
    <row r="7" spans="1:14" s="24" customFormat="1" ht="14.25" hidden="1" x14ac:dyDescent="0.2">
      <c r="A7" s="40">
        <v>2830331965</v>
      </c>
      <c r="B7" s="32" t="s">
        <v>1847</v>
      </c>
      <c r="C7" s="33">
        <v>46028</v>
      </c>
      <c r="D7" s="34">
        <v>1</v>
      </c>
      <c r="E7" s="35">
        <v>1125.44</v>
      </c>
      <c r="F7" s="36">
        <v>1125.44</v>
      </c>
      <c r="G7" s="36">
        <v>0</v>
      </c>
      <c r="H7" s="41" t="s">
        <v>1856</v>
      </c>
      <c r="I7" s="37">
        <v>46057</v>
      </c>
      <c r="J7" s="38">
        <v>-44</v>
      </c>
      <c r="K7" s="38"/>
      <c r="L7" s="39"/>
      <c r="N7" s="24" t="s">
        <v>1857</v>
      </c>
    </row>
    <row r="8" spans="1:14" s="24" customFormat="1" ht="14.25" hidden="1" x14ac:dyDescent="0.2">
      <c r="A8" s="40">
        <v>2830332069</v>
      </c>
      <c r="B8" s="32" t="s">
        <v>1847</v>
      </c>
      <c r="C8" s="33">
        <v>46029</v>
      </c>
      <c r="D8" s="34">
        <v>1</v>
      </c>
      <c r="E8" s="35">
        <v>2148.58</v>
      </c>
      <c r="F8" s="36">
        <v>2148.58</v>
      </c>
      <c r="G8" s="36">
        <v>0</v>
      </c>
      <c r="H8" s="41" t="s">
        <v>1858</v>
      </c>
      <c r="I8" s="37">
        <v>46058</v>
      </c>
      <c r="J8" s="38">
        <v>-43</v>
      </c>
      <c r="K8" s="38"/>
      <c r="L8" s="39"/>
      <c r="N8" s="24" t="s">
        <v>1859</v>
      </c>
    </row>
    <row r="9" spans="1:14" s="24" customFormat="1" ht="14.25" hidden="1" x14ac:dyDescent="0.2">
      <c r="A9" s="40">
        <v>2830332070</v>
      </c>
      <c r="B9" s="32" t="s">
        <v>1847</v>
      </c>
      <c r="C9" s="33">
        <v>46029</v>
      </c>
      <c r="D9" s="34">
        <v>1</v>
      </c>
      <c r="E9" s="35">
        <v>1477.37</v>
      </c>
      <c r="F9" s="36">
        <v>1477.37</v>
      </c>
      <c r="G9" s="36">
        <v>0</v>
      </c>
      <c r="H9" s="41" t="s">
        <v>1860</v>
      </c>
      <c r="I9" s="37">
        <v>46058</v>
      </c>
      <c r="J9" s="38">
        <v>-43</v>
      </c>
      <c r="K9" s="38"/>
      <c r="L9" s="39"/>
      <c r="N9" s="24" t="s">
        <v>1861</v>
      </c>
    </row>
    <row r="10" spans="1:14" s="24" customFormat="1" ht="14.25" hidden="1" x14ac:dyDescent="0.2">
      <c r="A10" s="40">
        <v>2830332449</v>
      </c>
      <c r="B10" s="32" t="s">
        <v>1847</v>
      </c>
      <c r="C10" s="33">
        <v>46035</v>
      </c>
      <c r="D10" s="34">
        <v>1</v>
      </c>
      <c r="E10" s="35">
        <v>212.98</v>
      </c>
      <c r="F10" s="36">
        <v>212.98</v>
      </c>
      <c r="G10" s="36">
        <v>0</v>
      </c>
      <c r="H10" s="41" t="s">
        <v>1862</v>
      </c>
      <c r="I10" s="37">
        <v>46064</v>
      </c>
      <c r="J10" s="38">
        <v>-37</v>
      </c>
      <c r="K10" s="38"/>
      <c r="L10" s="39"/>
      <c r="N10" s="24" t="s">
        <v>1863</v>
      </c>
    </row>
    <row r="11" spans="1:14" s="24" customFormat="1" ht="14.25" hidden="1" x14ac:dyDescent="0.2">
      <c r="A11" s="40">
        <v>2830332985</v>
      </c>
      <c r="B11" s="32" t="s">
        <v>1847</v>
      </c>
      <c r="C11" s="33">
        <v>46039</v>
      </c>
      <c r="D11" s="34">
        <v>1</v>
      </c>
      <c r="E11" s="35">
        <v>1578.53</v>
      </c>
      <c r="F11" s="36">
        <v>1578.53</v>
      </c>
      <c r="G11" s="36">
        <v>0</v>
      </c>
      <c r="H11" s="41" t="s">
        <v>1864</v>
      </c>
      <c r="I11" s="37">
        <v>46068</v>
      </c>
      <c r="J11" s="38">
        <v>-33</v>
      </c>
      <c r="K11" s="38"/>
      <c r="L11" s="39"/>
      <c r="N11" s="24" t="s">
        <v>1865</v>
      </c>
    </row>
    <row r="12" spans="1:14" s="24" customFormat="1" ht="14.25" hidden="1" x14ac:dyDescent="0.2">
      <c r="A12" s="40">
        <v>2830332986</v>
      </c>
      <c r="B12" s="32" t="s">
        <v>1847</v>
      </c>
      <c r="C12" s="33">
        <v>46039</v>
      </c>
      <c r="D12" s="34">
        <v>1</v>
      </c>
      <c r="E12" s="35">
        <v>1024.51</v>
      </c>
      <c r="F12" s="36">
        <v>1024.51</v>
      </c>
      <c r="G12" s="36">
        <v>0</v>
      </c>
      <c r="H12" s="41" t="s">
        <v>1866</v>
      </c>
      <c r="I12" s="37">
        <v>46068</v>
      </c>
      <c r="J12" s="38">
        <v>-33</v>
      </c>
      <c r="K12" s="38"/>
      <c r="L12" s="39"/>
      <c r="N12" s="24" t="s">
        <v>1867</v>
      </c>
    </row>
    <row r="13" spans="1:14" s="24" customFormat="1" ht="14.25" hidden="1" x14ac:dyDescent="0.2">
      <c r="A13" s="40">
        <v>2830333087</v>
      </c>
      <c r="B13" s="32" t="s">
        <v>1847</v>
      </c>
      <c r="C13" s="33">
        <v>46041</v>
      </c>
      <c r="D13" s="34">
        <v>1</v>
      </c>
      <c r="E13" s="35">
        <v>2154.61</v>
      </c>
      <c r="F13" s="36">
        <v>2154.61</v>
      </c>
      <c r="G13" s="36">
        <v>0</v>
      </c>
      <c r="H13" s="41" t="s">
        <v>1868</v>
      </c>
      <c r="I13" s="37">
        <v>46070</v>
      </c>
      <c r="J13" s="38">
        <v>-31</v>
      </c>
      <c r="K13" s="38"/>
      <c r="L13" s="39"/>
      <c r="N13" s="24" t="s">
        <v>1869</v>
      </c>
    </row>
    <row r="14" spans="1:14" s="24" customFormat="1" ht="14.25" hidden="1" x14ac:dyDescent="0.2">
      <c r="A14" s="40">
        <v>3830333238</v>
      </c>
      <c r="B14" s="32" t="s">
        <v>1847</v>
      </c>
      <c r="C14" s="33">
        <v>46043</v>
      </c>
      <c r="D14" s="34">
        <v>1</v>
      </c>
      <c r="E14" s="35">
        <v>352.64</v>
      </c>
      <c r="F14" s="36">
        <v>352.64</v>
      </c>
      <c r="G14" s="36">
        <v>0</v>
      </c>
      <c r="H14" s="41" t="s">
        <v>1870</v>
      </c>
      <c r="I14" s="37">
        <v>46072</v>
      </c>
      <c r="J14" s="38">
        <v>-29</v>
      </c>
      <c r="K14" s="38"/>
      <c r="L14" s="39"/>
      <c r="N14" s="24" t="s">
        <v>1871</v>
      </c>
    </row>
    <row r="15" spans="1:14" s="24" customFormat="1" ht="14.25" hidden="1" x14ac:dyDescent="0.2">
      <c r="A15" s="40">
        <v>2830333271</v>
      </c>
      <c r="B15" s="32" t="s">
        <v>1847</v>
      </c>
      <c r="C15" s="33">
        <v>46042</v>
      </c>
      <c r="D15" s="34">
        <v>1</v>
      </c>
      <c r="E15" s="35">
        <v>1343.75</v>
      </c>
      <c r="F15" s="36">
        <v>1343.75</v>
      </c>
      <c r="G15" s="36">
        <v>0</v>
      </c>
      <c r="H15" s="41" t="s">
        <v>1872</v>
      </c>
      <c r="I15" s="37">
        <v>46071</v>
      </c>
      <c r="J15" s="38">
        <v>-30</v>
      </c>
      <c r="K15" s="38"/>
      <c r="L15" s="39"/>
      <c r="N15" s="24" t="s">
        <v>1867</v>
      </c>
    </row>
    <row r="16" spans="1:14" s="24" customFormat="1" ht="14.25" hidden="1" x14ac:dyDescent="0.2">
      <c r="A16" s="40">
        <v>2830333272</v>
      </c>
      <c r="B16" s="32" t="s">
        <v>1847</v>
      </c>
      <c r="C16" s="33">
        <v>46042</v>
      </c>
      <c r="D16" s="34">
        <v>1</v>
      </c>
      <c r="E16" s="35">
        <v>1395.71</v>
      </c>
      <c r="F16" s="36">
        <v>1395.71</v>
      </c>
      <c r="G16" s="36">
        <v>0</v>
      </c>
      <c r="H16" s="41" t="s">
        <v>1873</v>
      </c>
      <c r="I16" s="37">
        <v>46071</v>
      </c>
      <c r="J16" s="38">
        <v>-30</v>
      </c>
      <c r="K16" s="38"/>
      <c r="L16" s="39"/>
      <c r="N16" s="24" t="s">
        <v>1874</v>
      </c>
    </row>
    <row r="17" spans="1:14" s="24" customFormat="1" ht="14.25" hidden="1" x14ac:dyDescent="0.2">
      <c r="A17" s="40">
        <v>2830333273</v>
      </c>
      <c r="B17" s="32" t="s">
        <v>1847</v>
      </c>
      <c r="C17" s="33">
        <v>46042</v>
      </c>
      <c r="D17" s="34">
        <v>1</v>
      </c>
      <c r="E17" s="35">
        <v>3511.56</v>
      </c>
      <c r="F17" s="36">
        <v>3511.56</v>
      </c>
      <c r="G17" s="36">
        <v>0</v>
      </c>
      <c r="H17" s="41" t="s">
        <v>1875</v>
      </c>
      <c r="I17" s="37">
        <v>46071</v>
      </c>
      <c r="J17" s="38">
        <v>-30</v>
      </c>
      <c r="K17" s="38"/>
      <c r="L17" s="39"/>
      <c r="N17" s="24" t="s">
        <v>1876</v>
      </c>
    </row>
    <row r="18" spans="1:14" s="24" customFormat="1" ht="14.25" hidden="1" x14ac:dyDescent="0.2">
      <c r="A18" s="40">
        <v>2830333274</v>
      </c>
      <c r="B18" s="32" t="s">
        <v>1847</v>
      </c>
      <c r="C18" s="33">
        <v>46042</v>
      </c>
      <c r="D18" s="34">
        <v>1</v>
      </c>
      <c r="E18" s="35">
        <v>3741.69</v>
      </c>
      <c r="F18" s="36">
        <v>3741.69</v>
      </c>
      <c r="G18" s="36">
        <v>0</v>
      </c>
      <c r="H18" s="41" t="s">
        <v>1877</v>
      </c>
      <c r="I18" s="37">
        <v>46071</v>
      </c>
      <c r="J18" s="38">
        <v>-30</v>
      </c>
      <c r="K18" s="38"/>
      <c r="L18" s="39"/>
      <c r="N18" s="24" t="s">
        <v>1878</v>
      </c>
    </row>
    <row r="19" spans="1:14" s="24" customFormat="1" ht="14.25" hidden="1" x14ac:dyDescent="0.2">
      <c r="A19" s="40">
        <v>2830333332</v>
      </c>
      <c r="B19" s="32" t="s">
        <v>1847</v>
      </c>
      <c r="C19" s="33">
        <v>46043</v>
      </c>
      <c r="D19" s="34">
        <v>1</v>
      </c>
      <c r="E19" s="35">
        <v>193.51</v>
      </c>
      <c r="F19" s="36">
        <v>193.51</v>
      </c>
      <c r="G19" s="36">
        <v>0</v>
      </c>
      <c r="H19" s="41" t="s">
        <v>1879</v>
      </c>
      <c r="I19" s="37">
        <v>46072</v>
      </c>
      <c r="J19" s="38">
        <v>-29</v>
      </c>
      <c r="K19" s="38"/>
      <c r="L19" s="39"/>
      <c r="N19" s="24" t="s">
        <v>1880</v>
      </c>
    </row>
    <row r="20" spans="1:14" s="24" customFormat="1" ht="14.25" hidden="1" x14ac:dyDescent="0.2">
      <c r="A20" s="40">
        <v>2830333333</v>
      </c>
      <c r="B20" s="32" t="s">
        <v>1847</v>
      </c>
      <c r="C20" s="33">
        <v>46043</v>
      </c>
      <c r="D20" s="34">
        <v>1</v>
      </c>
      <c r="E20" s="35">
        <v>296.95999999999998</v>
      </c>
      <c r="F20" s="36">
        <v>296.95999999999998</v>
      </c>
      <c r="G20" s="36">
        <v>0</v>
      </c>
      <c r="H20" s="41" t="s">
        <v>1881</v>
      </c>
      <c r="I20" s="37">
        <v>46072</v>
      </c>
      <c r="J20" s="38">
        <v>-29</v>
      </c>
      <c r="K20" s="38"/>
      <c r="L20" s="39"/>
      <c r="N20" s="24" t="s">
        <v>1882</v>
      </c>
    </row>
    <row r="21" spans="1:14" s="24" customFormat="1" ht="14.25" hidden="1" x14ac:dyDescent="0.2">
      <c r="A21" s="40">
        <v>2830333334</v>
      </c>
      <c r="B21" s="32" t="s">
        <v>1847</v>
      </c>
      <c r="C21" s="33">
        <v>46043</v>
      </c>
      <c r="D21" s="34">
        <v>1</v>
      </c>
      <c r="E21" s="35">
        <v>586.5</v>
      </c>
      <c r="F21" s="36">
        <v>586.5</v>
      </c>
      <c r="G21" s="36">
        <v>0</v>
      </c>
      <c r="H21" s="41" t="s">
        <v>1883</v>
      </c>
      <c r="I21" s="37">
        <v>46072</v>
      </c>
      <c r="J21" s="38">
        <v>-29</v>
      </c>
      <c r="K21" s="38"/>
      <c r="L21" s="39"/>
      <c r="N21" s="24" t="s">
        <v>1884</v>
      </c>
    </row>
    <row r="22" spans="1:14" s="24" customFormat="1" ht="14.25" hidden="1" x14ac:dyDescent="0.2">
      <c r="A22" s="40">
        <v>2830333335</v>
      </c>
      <c r="B22" s="32" t="s">
        <v>1847</v>
      </c>
      <c r="C22" s="33">
        <v>46043</v>
      </c>
      <c r="D22" s="34">
        <v>1</v>
      </c>
      <c r="E22" s="35">
        <v>1026.5999999999999</v>
      </c>
      <c r="F22" s="36">
        <v>1026.5999999999999</v>
      </c>
      <c r="G22" s="36">
        <v>0</v>
      </c>
      <c r="H22" s="41" t="s">
        <v>1885</v>
      </c>
      <c r="I22" s="37">
        <v>46072</v>
      </c>
      <c r="J22" s="38">
        <v>-29</v>
      </c>
      <c r="K22" s="38"/>
      <c r="L22" s="39"/>
      <c r="N22" s="24" t="s">
        <v>1886</v>
      </c>
    </row>
    <row r="23" spans="1:14" s="24" customFormat="1" ht="14.25" hidden="1" x14ac:dyDescent="0.2">
      <c r="A23" s="40">
        <v>2830333336</v>
      </c>
      <c r="B23" s="32" t="s">
        <v>1847</v>
      </c>
      <c r="C23" s="33">
        <v>46043</v>
      </c>
      <c r="D23" s="34">
        <v>1</v>
      </c>
      <c r="E23" s="35">
        <v>1484.8</v>
      </c>
      <c r="F23" s="36">
        <v>1484.8</v>
      </c>
      <c r="G23" s="36">
        <v>0</v>
      </c>
      <c r="H23" s="41" t="s">
        <v>1887</v>
      </c>
      <c r="I23" s="37">
        <v>46072</v>
      </c>
      <c r="J23" s="38">
        <v>-29</v>
      </c>
      <c r="K23" s="38"/>
      <c r="L23" s="39"/>
      <c r="N23" s="24" t="s">
        <v>1888</v>
      </c>
    </row>
    <row r="24" spans="1:14" s="24" customFormat="1" ht="14.25" hidden="1" x14ac:dyDescent="0.2">
      <c r="A24" s="40">
        <v>2830333337</v>
      </c>
      <c r="B24" s="32" t="s">
        <v>1847</v>
      </c>
      <c r="C24" s="33">
        <v>46043</v>
      </c>
      <c r="D24" s="34">
        <v>1</v>
      </c>
      <c r="E24" s="35">
        <v>668.16</v>
      </c>
      <c r="F24" s="36">
        <v>668.16</v>
      </c>
      <c r="G24" s="36">
        <v>0</v>
      </c>
      <c r="H24" s="41" t="s">
        <v>1889</v>
      </c>
      <c r="I24" s="37">
        <v>46072</v>
      </c>
      <c r="J24" s="38">
        <v>-29</v>
      </c>
      <c r="K24" s="38"/>
      <c r="L24" s="39"/>
      <c r="N24" s="24" t="s">
        <v>1890</v>
      </c>
    </row>
    <row r="25" spans="1:14" s="24" customFormat="1" ht="14.25" hidden="1" x14ac:dyDescent="0.2">
      <c r="A25" s="40">
        <v>2830333338</v>
      </c>
      <c r="B25" s="32" t="s">
        <v>1847</v>
      </c>
      <c r="C25" s="33">
        <v>46043</v>
      </c>
      <c r="D25" s="34">
        <v>1</v>
      </c>
      <c r="E25" s="35">
        <v>668.16</v>
      </c>
      <c r="F25" s="36">
        <v>668.16</v>
      </c>
      <c r="G25" s="36">
        <v>0</v>
      </c>
      <c r="H25" s="41" t="s">
        <v>1891</v>
      </c>
      <c r="I25" s="37">
        <v>46072</v>
      </c>
      <c r="J25" s="38">
        <v>-29</v>
      </c>
      <c r="K25" s="38"/>
      <c r="L25" s="39"/>
      <c r="N25" s="24" t="s">
        <v>1892</v>
      </c>
    </row>
    <row r="26" spans="1:14" s="24" customFormat="1" ht="14.25" hidden="1" x14ac:dyDescent="0.2">
      <c r="A26" s="40">
        <v>2830333339</v>
      </c>
      <c r="B26" s="32" t="s">
        <v>1847</v>
      </c>
      <c r="C26" s="33">
        <v>46043</v>
      </c>
      <c r="D26" s="34">
        <v>1</v>
      </c>
      <c r="E26" s="35">
        <v>1484.8</v>
      </c>
      <c r="F26" s="36">
        <v>1484.8</v>
      </c>
      <c r="G26" s="36">
        <v>0</v>
      </c>
      <c r="H26" s="41" t="s">
        <v>1893</v>
      </c>
      <c r="I26" s="37">
        <v>46072</v>
      </c>
      <c r="J26" s="38">
        <v>-29</v>
      </c>
      <c r="K26" s="38"/>
      <c r="L26" s="39"/>
      <c r="N26" s="24" t="s">
        <v>1894</v>
      </c>
    </row>
    <row r="27" spans="1:14" s="24" customFormat="1" ht="14.25" hidden="1" x14ac:dyDescent="0.2">
      <c r="A27" s="40">
        <v>2830333386</v>
      </c>
      <c r="B27" s="32" t="s">
        <v>1847</v>
      </c>
      <c r="C27" s="33">
        <v>46043</v>
      </c>
      <c r="D27" s="34">
        <v>1</v>
      </c>
      <c r="E27" s="35">
        <v>6496</v>
      </c>
      <c r="F27" s="36">
        <v>6496</v>
      </c>
      <c r="G27" s="36">
        <v>0</v>
      </c>
      <c r="H27" s="41" t="s">
        <v>1895</v>
      </c>
      <c r="I27" s="37">
        <v>46072</v>
      </c>
      <c r="J27" s="38">
        <v>-29</v>
      </c>
      <c r="K27" s="38"/>
      <c r="L27" s="39"/>
      <c r="N27" s="24" t="s">
        <v>1896</v>
      </c>
    </row>
    <row r="28" spans="1:14" s="24" customFormat="1" ht="14.25" hidden="1" x14ac:dyDescent="0.2">
      <c r="A28" s="40">
        <v>2830333387</v>
      </c>
      <c r="B28" s="32" t="s">
        <v>1847</v>
      </c>
      <c r="C28" s="33">
        <v>46043</v>
      </c>
      <c r="D28" s="34">
        <v>1</v>
      </c>
      <c r="E28" s="35">
        <v>2071.3000000000002</v>
      </c>
      <c r="F28" s="36">
        <v>2071.3000000000002</v>
      </c>
      <c r="G28" s="36">
        <v>0</v>
      </c>
      <c r="H28" s="41" t="s">
        <v>1897</v>
      </c>
      <c r="I28" s="37">
        <v>46072</v>
      </c>
      <c r="J28" s="38">
        <v>-29</v>
      </c>
      <c r="K28" s="38"/>
      <c r="L28" s="39"/>
      <c r="N28" s="24" t="s">
        <v>1898</v>
      </c>
    </row>
    <row r="29" spans="1:14" s="24" customFormat="1" ht="14.25" hidden="1" x14ac:dyDescent="0.2">
      <c r="A29" s="40">
        <v>2830333418</v>
      </c>
      <c r="B29" s="32" t="s">
        <v>1847</v>
      </c>
      <c r="C29" s="33">
        <v>46044</v>
      </c>
      <c r="D29" s="34">
        <v>1</v>
      </c>
      <c r="E29" s="35">
        <v>2494.46</v>
      </c>
      <c r="F29" s="36">
        <v>2494.46</v>
      </c>
      <c r="G29" s="36">
        <v>0</v>
      </c>
      <c r="H29" s="41" t="s">
        <v>1899</v>
      </c>
      <c r="I29" s="37">
        <v>46073</v>
      </c>
      <c r="J29" s="38">
        <v>-28</v>
      </c>
      <c r="K29" s="38"/>
      <c r="L29" s="39"/>
      <c r="N29" s="24" t="s">
        <v>1900</v>
      </c>
    </row>
    <row r="30" spans="1:14" s="24" customFormat="1" ht="14.25" hidden="1" x14ac:dyDescent="0.2">
      <c r="A30" s="40">
        <v>2830333419</v>
      </c>
      <c r="B30" s="32" t="s">
        <v>1847</v>
      </c>
      <c r="C30" s="33">
        <v>46044</v>
      </c>
      <c r="D30" s="34">
        <v>1</v>
      </c>
      <c r="E30" s="35">
        <v>3199.97</v>
      </c>
      <c r="F30" s="36">
        <v>3199.97</v>
      </c>
      <c r="G30" s="36">
        <v>0</v>
      </c>
      <c r="H30" s="41" t="s">
        <v>1901</v>
      </c>
      <c r="I30" s="37">
        <v>46073</v>
      </c>
      <c r="J30" s="38">
        <v>-28</v>
      </c>
      <c r="K30" s="38"/>
      <c r="L30" s="39"/>
      <c r="N30" s="24" t="s">
        <v>1902</v>
      </c>
    </row>
    <row r="31" spans="1:14" s="24" customFormat="1" ht="14.25" hidden="1" x14ac:dyDescent="0.2">
      <c r="A31" s="40">
        <v>2830333444</v>
      </c>
      <c r="B31" s="32" t="s">
        <v>1847</v>
      </c>
      <c r="C31" s="33">
        <v>46044</v>
      </c>
      <c r="D31" s="34">
        <v>1</v>
      </c>
      <c r="E31" s="35">
        <v>13212.4</v>
      </c>
      <c r="F31" s="36">
        <v>386.63</v>
      </c>
      <c r="G31" s="36">
        <v>12825.77</v>
      </c>
      <c r="H31" s="41" t="s">
        <v>1901</v>
      </c>
      <c r="I31" s="37">
        <v>46073</v>
      </c>
      <c r="J31" s="38">
        <v>-28</v>
      </c>
      <c r="K31" s="38"/>
      <c r="L31" s="39"/>
      <c r="N31" s="24" t="s">
        <v>1903</v>
      </c>
    </row>
    <row r="32" spans="1:14" s="24" customFormat="1" ht="14.25" x14ac:dyDescent="0.2">
      <c r="A32" s="40">
        <v>2830333444</v>
      </c>
      <c r="B32" s="32" t="s">
        <v>1847</v>
      </c>
      <c r="C32" s="33">
        <v>46044</v>
      </c>
      <c r="D32" s="34">
        <v>1</v>
      </c>
      <c r="E32" s="35">
        <f>+G31</f>
        <v>12825.77</v>
      </c>
      <c r="F32" s="36">
        <v>12825.77</v>
      </c>
      <c r="G32" s="36">
        <f>+E32-F32</f>
        <v>0</v>
      </c>
      <c r="H32" s="41" t="s">
        <v>1906</v>
      </c>
      <c r="I32" s="37"/>
      <c r="J32" s="38"/>
      <c r="K32" s="38"/>
      <c r="L32" s="39"/>
    </row>
    <row r="33" spans="1:14" s="24" customFormat="1" ht="14.25" x14ac:dyDescent="0.2">
      <c r="A33" s="40">
        <v>2830333460</v>
      </c>
      <c r="B33" s="32" t="s">
        <v>1847</v>
      </c>
      <c r="C33" s="33">
        <v>46044</v>
      </c>
      <c r="D33" s="34">
        <v>1</v>
      </c>
      <c r="E33" s="35">
        <v>994.81</v>
      </c>
      <c r="F33" s="36">
        <v>994.81</v>
      </c>
      <c r="G33" s="36">
        <f t="shared" ref="G33:G57" si="0">+E33-F33</f>
        <v>0</v>
      </c>
      <c r="H33" s="41" t="s">
        <v>1906</v>
      </c>
      <c r="I33" s="37">
        <v>46073</v>
      </c>
      <c r="J33" s="38">
        <v>-28</v>
      </c>
      <c r="K33" s="38"/>
      <c r="L33" s="39"/>
      <c r="N33" s="24" t="s">
        <v>1904</v>
      </c>
    </row>
    <row r="34" spans="1:14" s="24" customFormat="1" ht="14.25" x14ac:dyDescent="0.2">
      <c r="A34" s="40">
        <v>2830333492</v>
      </c>
      <c r="B34" s="32" t="s">
        <v>1847</v>
      </c>
      <c r="C34" s="33">
        <v>46044</v>
      </c>
      <c r="D34" s="34">
        <v>1</v>
      </c>
      <c r="E34" s="35">
        <v>15784.65</v>
      </c>
      <c r="F34" s="36">
        <v>15784.65</v>
      </c>
      <c r="G34" s="36">
        <f t="shared" si="0"/>
        <v>0</v>
      </c>
      <c r="H34" s="41" t="s">
        <v>1906</v>
      </c>
      <c r="I34" s="37">
        <v>46073</v>
      </c>
      <c r="J34" s="38">
        <v>-28</v>
      </c>
      <c r="K34" s="38"/>
      <c r="L34" s="39"/>
      <c r="N34" s="24" t="s">
        <v>1905</v>
      </c>
    </row>
    <row r="35" spans="1:14" s="24" customFormat="1" ht="14.25" x14ac:dyDescent="0.2">
      <c r="A35" s="40">
        <v>2830334168</v>
      </c>
      <c r="B35" s="32" t="s">
        <v>1847</v>
      </c>
      <c r="C35" s="33">
        <v>46051</v>
      </c>
      <c r="D35" s="34">
        <v>1</v>
      </c>
      <c r="E35" s="35">
        <v>48.72</v>
      </c>
      <c r="F35" s="36">
        <v>48.72</v>
      </c>
      <c r="G35" s="36">
        <f t="shared" si="0"/>
        <v>0</v>
      </c>
      <c r="H35" s="41" t="s">
        <v>1906</v>
      </c>
      <c r="I35" s="37">
        <v>46080</v>
      </c>
      <c r="J35" s="38">
        <v>-21</v>
      </c>
      <c r="K35" s="38"/>
      <c r="L35" s="39"/>
    </row>
    <row r="36" spans="1:14" s="24" customFormat="1" ht="14.25" x14ac:dyDescent="0.2">
      <c r="A36" s="40">
        <v>2830334169</v>
      </c>
      <c r="B36" s="32" t="s">
        <v>1847</v>
      </c>
      <c r="C36" s="33">
        <v>46051</v>
      </c>
      <c r="D36" s="34">
        <v>1</v>
      </c>
      <c r="E36" s="35">
        <v>48.72</v>
      </c>
      <c r="F36" s="36">
        <v>48.72</v>
      </c>
      <c r="G36" s="36">
        <f t="shared" si="0"/>
        <v>0</v>
      </c>
      <c r="H36" s="41" t="s">
        <v>1906</v>
      </c>
      <c r="I36" s="37">
        <v>46080</v>
      </c>
      <c r="J36" s="38">
        <v>-21</v>
      </c>
      <c r="K36" s="38"/>
      <c r="L36" s="39"/>
    </row>
    <row r="37" spans="1:14" s="24" customFormat="1" ht="14.25" x14ac:dyDescent="0.2">
      <c r="A37" s="40">
        <v>2830334170</v>
      </c>
      <c r="B37" s="32" t="s">
        <v>1847</v>
      </c>
      <c r="C37" s="33">
        <v>46050</v>
      </c>
      <c r="D37" s="34">
        <v>1</v>
      </c>
      <c r="E37" s="35">
        <v>2389.14</v>
      </c>
      <c r="F37" s="36">
        <v>2389.14</v>
      </c>
      <c r="G37" s="36">
        <f t="shared" si="0"/>
        <v>0</v>
      </c>
      <c r="H37" s="41" t="s">
        <v>1906</v>
      </c>
      <c r="I37" s="37">
        <v>46079</v>
      </c>
      <c r="J37" s="38">
        <v>-22</v>
      </c>
      <c r="K37" s="38"/>
      <c r="L37" s="39"/>
    </row>
    <row r="38" spans="1:14" s="24" customFormat="1" ht="14.25" x14ac:dyDescent="0.2">
      <c r="A38" s="40">
        <v>2830334171</v>
      </c>
      <c r="B38" s="32" t="s">
        <v>1847</v>
      </c>
      <c r="C38" s="33">
        <v>46050</v>
      </c>
      <c r="D38" s="34">
        <v>1</v>
      </c>
      <c r="E38" s="35">
        <v>769.13</v>
      </c>
      <c r="F38" s="36">
        <v>769.13</v>
      </c>
      <c r="G38" s="36">
        <f t="shared" si="0"/>
        <v>0</v>
      </c>
      <c r="H38" s="41" t="s">
        <v>1906</v>
      </c>
      <c r="I38" s="37">
        <v>46079</v>
      </c>
      <c r="J38" s="38">
        <v>-22</v>
      </c>
      <c r="K38" s="38"/>
      <c r="L38" s="39"/>
    </row>
    <row r="39" spans="1:14" s="24" customFormat="1" ht="14.25" x14ac:dyDescent="0.2">
      <c r="A39" s="40">
        <v>2830334869</v>
      </c>
      <c r="B39" s="32" t="s">
        <v>1847</v>
      </c>
      <c r="C39" s="33">
        <v>46060</v>
      </c>
      <c r="D39" s="34">
        <v>2</v>
      </c>
      <c r="E39" s="35">
        <v>3712</v>
      </c>
      <c r="F39" s="36">
        <v>3712</v>
      </c>
      <c r="G39" s="36">
        <f t="shared" si="0"/>
        <v>0</v>
      </c>
      <c r="H39" s="41" t="s">
        <v>1906</v>
      </c>
      <c r="I39" s="37">
        <v>46086</v>
      </c>
      <c r="J39" s="38">
        <v>-15</v>
      </c>
      <c r="K39" s="38"/>
      <c r="L39" s="39"/>
    </row>
    <row r="40" spans="1:14" s="24" customFormat="1" ht="14.25" x14ac:dyDescent="0.2">
      <c r="A40" s="40">
        <v>2830334870</v>
      </c>
      <c r="B40" s="32" t="s">
        <v>1847</v>
      </c>
      <c r="C40" s="33">
        <v>46060</v>
      </c>
      <c r="D40" s="34">
        <v>2</v>
      </c>
      <c r="E40" s="35">
        <v>3645.18</v>
      </c>
      <c r="F40" s="36">
        <v>3645.18</v>
      </c>
      <c r="G40" s="36">
        <f t="shared" si="0"/>
        <v>0</v>
      </c>
      <c r="H40" s="41" t="s">
        <v>1906</v>
      </c>
      <c r="I40" s="37">
        <v>46086</v>
      </c>
      <c r="J40" s="38">
        <v>-15</v>
      </c>
      <c r="K40" s="38"/>
      <c r="L40" s="39"/>
    </row>
    <row r="41" spans="1:14" s="24" customFormat="1" ht="14.25" x14ac:dyDescent="0.2">
      <c r="A41" s="40">
        <v>2830335327</v>
      </c>
      <c r="B41" s="32" t="s">
        <v>1847</v>
      </c>
      <c r="C41" s="33">
        <v>46063</v>
      </c>
      <c r="D41" s="34">
        <v>2</v>
      </c>
      <c r="E41" s="35">
        <v>2849.25</v>
      </c>
      <c r="F41" s="36">
        <v>2849.25</v>
      </c>
      <c r="G41" s="36">
        <f t="shared" si="0"/>
        <v>0</v>
      </c>
      <c r="H41" s="41" t="s">
        <v>1906</v>
      </c>
      <c r="I41" s="37">
        <v>46089</v>
      </c>
      <c r="J41" s="38">
        <v>-12</v>
      </c>
      <c r="K41" s="38"/>
      <c r="L41" s="39"/>
    </row>
    <row r="42" spans="1:14" s="24" customFormat="1" ht="14.25" x14ac:dyDescent="0.2">
      <c r="A42" s="40">
        <v>2830335353</v>
      </c>
      <c r="B42" s="32" t="s">
        <v>1847</v>
      </c>
      <c r="C42" s="33">
        <v>46063</v>
      </c>
      <c r="D42" s="34">
        <v>2</v>
      </c>
      <c r="E42" s="35">
        <v>786.94</v>
      </c>
      <c r="F42" s="36">
        <v>786.94</v>
      </c>
      <c r="G42" s="36">
        <f t="shared" si="0"/>
        <v>0</v>
      </c>
      <c r="H42" s="41" t="s">
        <v>1906</v>
      </c>
      <c r="I42" s="37">
        <v>46089</v>
      </c>
      <c r="J42" s="38">
        <v>-12</v>
      </c>
      <c r="K42" s="38"/>
      <c r="L42" s="39"/>
    </row>
    <row r="43" spans="1:14" s="24" customFormat="1" ht="14.25" x14ac:dyDescent="0.2">
      <c r="A43" s="40">
        <v>2830335427</v>
      </c>
      <c r="B43" s="32" t="s">
        <v>1847</v>
      </c>
      <c r="C43" s="33">
        <v>46064</v>
      </c>
      <c r="D43" s="34">
        <v>2</v>
      </c>
      <c r="E43" s="35">
        <v>1124.74</v>
      </c>
      <c r="F43" s="36">
        <v>1124.74</v>
      </c>
      <c r="G43" s="36">
        <f t="shared" si="0"/>
        <v>0</v>
      </c>
      <c r="H43" s="41" t="s">
        <v>1906</v>
      </c>
      <c r="I43" s="37">
        <v>46090</v>
      </c>
      <c r="J43" s="38">
        <v>-11</v>
      </c>
      <c r="K43" s="38"/>
      <c r="L43" s="39"/>
    </row>
    <row r="44" spans="1:14" s="24" customFormat="1" ht="14.25" x14ac:dyDescent="0.2">
      <c r="A44" s="40">
        <v>2830335428</v>
      </c>
      <c r="B44" s="32" t="s">
        <v>1847</v>
      </c>
      <c r="C44" s="33">
        <v>46064</v>
      </c>
      <c r="D44" s="34">
        <v>2</v>
      </c>
      <c r="E44" s="35">
        <v>1135.8699999999999</v>
      </c>
      <c r="F44" s="36">
        <v>1135.8699999999999</v>
      </c>
      <c r="G44" s="36">
        <f t="shared" si="0"/>
        <v>0</v>
      </c>
      <c r="H44" s="41" t="s">
        <v>1906</v>
      </c>
      <c r="I44" s="37">
        <v>46090</v>
      </c>
      <c r="J44" s="38">
        <v>-11</v>
      </c>
      <c r="K44" s="38"/>
      <c r="L44" s="39"/>
    </row>
    <row r="45" spans="1:14" s="24" customFormat="1" ht="14.25" x14ac:dyDescent="0.2">
      <c r="A45" s="40">
        <v>2830335429</v>
      </c>
      <c r="B45" s="32" t="s">
        <v>1847</v>
      </c>
      <c r="C45" s="33">
        <v>46064</v>
      </c>
      <c r="D45" s="34">
        <v>2</v>
      </c>
      <c r="E45" s="35">
        <v>2743.17</v>
      </c>
      <c r="F45" s="36">
        <v>2743.17</v>
      </c>
      <c r="G45" s="36">
        <f t="shared" si="0"/>
        <v>0</v>
      </c>
      <c r="H45" s="41" t="s">
        <v>1906</v>
      </c>
      <c r="I45" s="37">
        <v>46090</v>
      </c>
      <c r="J45" s="38">
        <v>-11</v>
      </c>
      <c r="K45" s="38"/>
      <c r="L45" s="39"/>
    </row>
    <row r="46" spans="1:14" s="24" customFormat="1" ht="14.25" x14ac:dyDescent="0.2">
      <c r="A46" s="40">
        <v>2830335430</v>
      </c>
      <c r="B46" s="32" t="s">
        <v>1847</v>
      </c>
      <c r="C46" s="33">
        <v>46064</v>
      </c>
      <c r="D46" s="34">
        <v>2</v>
      </c>
      <c r="E46" s="35">
        <v>7541.63</v>
      </c>
      <c r="F46" s="36">
        <v>7541.63</v>
      </c>
      <c r="G46" s="36">
        <f t="shared" si="0"/>
        <v>0</v>
      </c>
      <c r="H46" s="41" t="s">
        <v>1906</v>
      </c>
      <c r="I46" s="37">
        <v>46090</v>
      </c>
      <c r="J46" s="38">
        <v>-11</v>
      </c>
      <c r="K46" s="38"/>
      <c r="L46" s="39"/>
    </row>
    <row r="47" spans="1:14" s="24" customFormat="1" ht="14.25" x14ac:dyDescent="0.2">
      <c r="A47" s="40">
        <v>2830335479</v>
      </c>
      <c r="B47" s="32" t="s">
        <v>1847</v>
      </c>
      <c r="C47" s="33">
        <v>46064</v>
      </c>
      <c r="D47" s="34">
        <v>2</v>
      </c>
      <c r="E47" s="35">
        <v>14286.33</v>
      </c>
      <c r="F47" s="36">
        <v>14286.33</v>
      </c>
      <c r="G47" s="36">
        <f t="shared" si="0"/>
        <v>0</v>
      </c>
      <c r="H47" s="41" t="s">
        <v>1906</v>
      </c>
      <c r="I47" s="37">
        <v>46090</v>
      </c>
      <c r="J47" s="38">
        <v>-11</v>
      </c>
      <c r="K47" s="38"/>
      <c r="L47" s="39"/>
    </row>
    <row r="48" spans="1:14" s="24" customFormat="1" ht="14.25" x14ac:dyDescent="0.2">
      <c r="A48" s="40">
        <v>2830335480</v>
      </c>
      <c r="B48" s="32" t="s">
        <v>1847</v>
      </c>
      <c r="C48" s="33">
        <v>46064</v>
      </c>
      <c r="D48" s="34">
        <v>2</v>
      </c>
      <c r="E48" s="35">
        <v>509.25</v>
      </c>
      <c r="F48" s="36">
        <v>509.25</v>
      </c>
      <c r="G48" s="36">
        <f t="shared" si="0"/>
        <v>0</v>
      </c>
      <c r="H48" s="41" t="s">
        <v>1906</v>
      </c>
      <c r="I48" s="37">
        <v>46090</v>
      </c>
      <c r="J48" s="38">
        <v>-11</v>
      </c>
      <c r="K48" s="38"/>
      <c r="L48" s="39"/>
    </row>
    <row r="49" spans="1:12" s="24" customFormat="1" ht="14.25" x14ac:dyDescent="0.2">
      <c r="A49" s="40">
        <v>2830335481</v>
      </c>
      <c r="B49" s="32" t="s">
        <v>1847</v>
      </c>
      <c r="C49" s="33">
        <v>46064</v>
      </c>
      <c r="D49" s="34">
        <v>2</v>
      </c>
      <c r="E49" s="35">
        <v>2774.24</v>
      </c>
      <c r="F49" s="36">
        <v>2774.24</v>
      </c>
      <c r="G49" s="36">
        <f t="shared" si="0"/>
        <v>0</v>
      </c>
      <c r="H49" s="41" t="s">
        <v>1906</v>
      </c>
      <c r="I49" s="37">
        <v>46090</v>
      </c>
      <c r="J49" s="38">
        <v>-11</v>
      </c>
      <c r="K49" s="38"/>
      <c r="L49" s="39"/>
    </row>
    <row r="50" spans="1:12" s="24" customFormat="1" ht="14.25" x14ac:dyDescent="0.2">
      <c r="A50" s="40">
        <v>2830335482</v>
      </c>
      <c r="B50" s="32" t="s">
        <v>1847</v>
      </c>
      <c r="C50" s="33">
        <v>46064</v>
      </c>
      <c r="D50" s="34">
        <v>2</v>
      </c>
      <c r="E50" s="35">
        <v>2977.03</v>
      </c>
      <c r="F50" s="36">
        <v>2977.03</v>
      </c>
      <c r="G50" s="36">
        <f t="shared" si="0"/>
        <v>0</v>
      </c>
      <c r="H50" s="41" t="s">
        <v>1906</v>
      </c>
      <c r="I50" s="37">
        <v>46090</v>
      </c>
      <c r="J50" s="38">
        <v>-11</v>
      </c>
      <c r="K50" s="38"/>
      <c r="L50" s="39"/>
    </row>
    <row r="51" spans="1:12" s="24" customFormat="1" ht="14.25" x14ac:dyDescent="0.2">
      <c r="A51" s="40">
        <v>2830335988</v>
      </c>
      <c r="B51" s="32" t="s">
        <v>1847</v>
      </c>
      <c r="C51" s="33">
        <v>46070</v>
      </c>
      <c r="D51" s="34">
        <v>2</v>
      </c>
      <c r="E51" s="35">
        <v>3215.06</v>
      </c>
      <c r="F51" s="36">
        <v>3215.06</v>
      </c>
      <c r="G51" s="36">
        <f t="shared" si="0"/>
        <v>0</v>
      </c>
      <c r="H51" s="41" t="s">
        <v>1906</v>
      </c>
      <c r="I51" s="37">
        <v>46096</v>
      </c>
      <c r="J51" s="38">
        <v>-5</v>
      </c>
      <c r="K51" s="38"/>
      <c r="L51" s="39"/>
    </row>
    <row r="52" spans="1:12" s="24" customFormat="1" ht="14.25" x14ac:dyDescent="0.2">
      <c r="A52" s="40">
        <v>2830335989</v>
      </c>
      <c r="B52" s="32" t="s">
        <v>1847</v>
      </c>
      <c r="C52" s="33">
        <v>46070</v>
      </c>
      <c r="D52" s="34">
        <v>2</v>
      </c>
      <c r="E52" s="35">
        <v>118.32</v>
      </c>
      <c r="F52" s="36">
        <v>118.32</v>
      </c>
      <c r="G52" s="36">
        <f t="shared" si="0"/>
        <v>0</v>
      </c>
      <c r="H52" s="41" t="s">
        <v>1906</v>
      </c>
      <c r="I52" s="37">
        <v>46096</v>
      </c>
      <c r="J52" s="38">
        <v>-5</v>
      </c>
      <c r="K52" s="38"/>
      <c r="L52" s="39"/>
    </row>
    <row r="53" spans="1:12" s="24" customFormat="1" ht="14.25" x14ac:dyDescent="0.2">
      <c r="A53" s="40">
        <v>2830335990</v>
      </c>
      <c r="B53" s="32" t="s">
        <v>1847</v>
      </c>
      <c r="C53" s="33">
        <v>46070</v>
      </c>
      <c r="D53" s="34">
        <v>2</v>
      </c>
      <c r="E53" s="35">
        <v>1781.76</v>
      </c>
      <c r="F53" s="36">
        <v>1781.76</v>
      </c>
      <c r="G53" s="36">
        <f t="shared" si="0"/>
        <v>0</v>
      </c>
      <c r="H53" s="41" t="s">
        <v>1906</v>
      </c>
      <c r="I53" s="37">
        <v>46096</v>
      </c>
      <c r="J53" s="38">
        <v>-5</v>
      </c>
      <c r="K53" s="38"/>
      <c r="L53" s="39"/>
    </row>
    <row r="54" spans="1:12" s="24" customFormat="1" ht="14.25" x14ac:dyDescent="0.2">
      <c r="A54" s="40">
        <v>2830335991</v>
      </c>
      <c r="B54" s="32" t="s">
        <v>1847</v>
      </c>
      <c r="C54" s="33">
        <v>46070</v>
      </c>
      <c r="D54" s="34">
        <v>2</v>
      </c>
      <c r="E54" s="35">
        <v>2504.25</v>
      </c>
      <c r="F54" s="36">
        <v>2504.25</v>
      </c>
      <c r="G54" s="36">
        <f t="shared" si="0"/>
        <v>0</v>
      </c>
      <c r="H54" s="41" t="s">
        <v>1906</v>
      </c>
      <c r="I54" s="37">
        <v>46096</v>
      </c>
      <c r="J54" s="38">
        <v>-5</v>
      </c>
      <c r="K54" s="38"/>
      <c r="L54" s="39"/>
    </row>
    <row r="55" spans="1:12" s="24" customFormat="1" ht="14.25" x14ac:dyDescent="0.2">
      <c r="A55" s="40">
        <v>2830336102</v>
      </c>
      <c r="B55" s="32" t="s">
        <v>1847</v>
      </c>
      <c r="C55" s="33">
        <v>46070</v>
      </c>
      <c r="D55" s="34">
        <v>2</v>
      </c>
      <c r="E55" s="35">
        <v>2372.06</v>
      </c>
      <c r="F55" s="36">
        <v>2372.06</v>
      </c>
      <c r="G55" s="36">
        <f t="shared" si="0"/>
        <v>0</v>
      </c>
      <c r="H55" s="41" t="s">
        <v>1906</v>
      </c>
      <c r="I55" s="37">
        <v>46096</v>
      </c>
      <c r="J55" s="38">
        <v>-5</v>
      </c>
      <c r="K55" s="38"/>
      <c r="L55" s="39"/>
    </row>
    <row r="56" spans="1:12" s="24" customFormat="1" ht="14.25" x14ac:dyDescent="0.2">
      <c r="A56" s="40">
        <v>2830336237</v>
      </c>
      <c r="B56" s="32" t="s">
        <v>1847</v>
      </c>
      <c r="C56" s="33">
        <v>46072</v>
      </c>
      <c r="D56" s="34">
        <v>2</v>
      </c>
      <c r="E56" s="35">
        <v>1536.74</v>
      </c>
      <c r="F56" s="36">
        <v>1536.74</v>
      </c>
      <c r="G56" s="36">
        <f t="shared" si="0"/>
        <v>0</v>
      </c>
      <c r="H56" s="41" t="s">
        <v>1906</v>
      </c>
      <c r="I56" s="37">
        <v>46098</v>
      </c>
      <c r="J56" s="38">
        <v>-3</v>
      </c>
      <c r="K56" s="38"/>
      <c r="L56" s="39"/>
    </row>
    <row r="57" spans="1:12" s="24" customFormat="1" ht="14.25" x14ac:dyDescent="0.2">
      <c r="A57" s="40">
        <v>2830336399</v>
      </c>
      <c r="B57" s="32" t="s">
        <v>1847</v>
      </c>
      <c r="C57" s="33">
        <v>46073</v>
      </c>
      <c r="D57" s="34">
        <v>2</v>
      </c>
      <c r="E57" s="35">
        <v>4350.7</v>
      </c>
      <c r="F57" s="36">
        <v>1303.24</v>
      </c>
      <c r="G57" s="36">
        <f t="shared" si="0"/>
        <v>3047.46</v>
      </c>
      <c r="H57" s="41" t="s">
        <v>1906</v>
      </c>
      <c r="I57" s="37">
        <v>46099</v>
      </c>
      <c r="J57" s="38">
        <v>-2</v>
      </c>
      <c r="K57" s="38"/>
      <c r="L57" s="39"/>
    </row>
    <row r="58" spans="1:12" s="24" customFormat="1" ht="14.25" x14ac:dyDescent="0.2">
      <c r="A58" s="40">
        <v>2830336400</v>
      </c>
      <c r="B58" s="32" t="s">
        <v>1847</v>
      </c>
      <c r="C58" s="33">
        <v>46073</v>
      </c>
      <c r="D58" s="34">
        <v>2</v>
      </c>
      <c r="E58" s="35">
        <v>5204.2299999999996</v>
      </c>
      <c r="F58" s="36"/>
      <c r="G58" s="36">
        <v>5204.2299999999996</v>
      </c>
      <c r="H58" s="36"/>
      <c r="I58" s="37">
        <v>46099</v>
      </c>
      <c r="J58" s="38">
        <v>-2</v>
      </c>
      <c r="K58" s="38"/>
      <c r="L58" s="39"/>
    </row>
    <row r="59" spans="1:12" s="24" customFormat="1" ht="14.25" x14ac:dyDescent="0.2">
      <c r="A59" s="40">
        <v>2830336401</v>
      </c>
      <c r="B59" s="32" t="s">
        <v>1847</v>
      </c>
      <c r="C59" s="33">
        <v>46073</v>
      </c>
      <c r="D59" s="34">
        <v>2</v>
      </c>
      <c r="E59" s="35">
        <v>422.24</v>
      </c>
      <c r="F59" s="36"/>
      <c r="G59" s="36">
        <v>422.24</v>
      </c>
      <c r="H59" s="36"/>
      <c r="I59" s="37">
        <v>46099</v>
      </c>
      <c r="J59" s="38">
        <v>-2</v>
      </c>
      <c r="K59" s="38"/>
      <c r="L59" s="39"/>
    </row>
    <row r="60" spans="1:12" s="24" customFormat="1" ht="14.25" x14ac:dyDescent="0.2">
      <c r="A60" s="40">
        <v>2830336558</v>
      </c>
      <c r="B60" s="32" t="s">
        <v>1847</v>
      </c>
      <c r="C60" s="33">
        <v>46076</v>
      </c>
      <c r="D60" s="34">
        <v>2</v>
      </c>
      <c r="E60" s="35">
        <v>404.61</v>
      </c>
      <c r="F60" s="36"/>
      <c r="G60" s="36">
        <v>404.61</v>
      </c>
      <c r="H60" s="36"/>
      <c r="I60" s="37">
        <v>46102</v>
      </c>
      <c r="J60" s="38">
        <v>1</v>
      </c>
      <c r="K60" s="38"/>
      <c r="L60" s="39"/>
    </row>
    <row r="61" spans="1:12" s="24" customFormat="1" ht="14.25" x14ac:dyDescent="0.2">
      <c r="A61" s="40">
        <v>2830336559</v>
      </c>
      <c r="B61" s="32" t="s">
        <v>1847</v>
      </c>
      <c r="C61" s="33">
        <v>46076</v>
      </c>
      <c r="D61" s="34">
        <v>2</v>
      </c>
      <c r="E61" s="35">
        <v>2129.7600000000002</v>
      </c>
      <c r="F61" s="36"/>
      <c r="G61" s="36">
        <v>2129.7600000000002</v>
      </c>
      <c r="H61" s="36"/>
      <c r="I61" s="37">
        <v>46102</v>
      </c>
      <c r="J61" s="38">
        <v>1</v>
      </c>
      <c r="K61" s="38"/>
      <c r="L61" s="39"/>
    </row>
    <row r="62" spans="1:12" s="24" customFormat="1" ht="14.25" x14ac:dyDescent="0.2">
      <c r="A62" s="40">
        <v>2830336560</v>
      </c>
      <c r="B62" s="32" t="s">
        <v>1847</v>
      </c>
      <c r="C62" s="33">
        <v>46076</v>
      </c>
      <c r="D62" s="34">
        <v>2</v>
      </c>
      <c r="E62" s="35">
        <v>18.559999999999999</v>
      </c>
      <c r="F62" s="36"/>
      <c r="G62" s="36">
        <v>18.559999999999999</v>
      </c>
      <c r="H62" s="36"/>
      <c r="I62" s="37">
        <v>46102</v>
      </c>
      <c r="J62" s="38">
        <v>1</v>
      </c>
      <c r="K62" s="38"/>
      <c r="L62" s="39"/>
    </row>
    <row r="63" spans="1:12" s="24" customFormat="1" ht="14.25" x14ac:dyDescent="0.2">
      <c r="A63" s="40">
        <v>2830336561</v>
      </c>
      <c r="B63" s="32" t="s">
        <v>1847</v>
      </c>
      <c r="C63" s="33">
        <v>46076</v>
      </c>
      <c r="D63" s="34">
        <v>2</v>
      </c>
      <c r="E63" s="35">
        <v>111.36</v>
      </c>
      <c r="F63" s="36"/>
      <c r="G63" s="36">
        <v>111.36</v>
      </c>
      <c r="H63" s="36"/>
      <c r="I63" s="37">
        <v>46102</v>
      </c>
      <c r="J63" s="38">
        <v>1</v>
      </c>
      <c r="K63" s="38"/>
      <c r="L63" s="39"/>
    </row>
    <row r="64" spans="1:12" s="24" customFormat="1" ht="14.25" x14ac:dyDescent="0.2">
      <c r="A64" s="40">
        <v>2830336663</v>
      </c>
      <c r="B64" s="32" t="s">
        <v>1847</v>
      </c>
      <c r="C64" s="33">
        <v>46076</v>
      </c>
      <c r="D64" s="34">
        <v>2</v>
      </c>
      <c r="E64" s="35">
        <v>668.16</v>
      </c>
      <c r="F64" s="36"/>
      <c r="G64" s="36">
        <v>668.16</v>
      </c>
      <c r="H64" s="36"/>
      <c r="I64" s="37">
        <v>46102</v>
      </c>
      <c r="J64" s="38">
        <v>1</v>
      </c>
      <c r="K64" s="38"/>
      <c r="L64" s="39"/>
    </row>
    <row r="65" spans="1:12" s="24" customFormat="1" ht="14.25" x14ac:dyDescent="0.2">
      <c r="A65" s="40">
        <v>2830336719</v>
      </c>
      <c r="B65" s="32" t="s">
        <v>1847</v>
      </c>
      <c r="C65" s="33">
        <v>46077</v>
      </c>
      <c r="D65" s="34">
        <v>2</v>
      </c>
      <c r="E65" s="35">
        <v>2572.42</v>
      </c>
      <c r="F65" s="36"/>
      <c r="G65" s="36">
        <v>2572.42</v>
      </c>
      <c r="H65" s="36"/>
      <c r="I65" s="37">
        <v>46103</v>
      </c>
      <c r="J65" s="38">
        <v>2</v>
      </c>
      <c r="K65" s="38"/>
      <c r="L65" s="39"/>
    </row>
    <row r="66" spans="1:12" s="24" customFormat="1" ht="14.25" x14ac:dyDescent="0.2">
      <c r="A66" s="40">
        <v>2830336720</v>
      </c>
      <c r="B66" s="32" t="s">
        <v>1847</v>
      </c>
      <c r="C66" s="33">
        <v>46077</v>
      </c>
      <c r="D66" s="34">
        <v>2</v>
      </c>
      <c r="E66" s="35">
        <v>388.51</v>
      </c>
      <c r="F66" s="36"/>
      <c r="G66" s="36">
        <v>388.51</v>
      </c>
      <c r="H66" s="36"/>
      <c r="I66" s="37">
        <v>46103</v>
      </c>
      <c r="J66" s="38">
        <v>2</v>
      </c>
      <c r="K66" s="38"/>
      <c r="L66" s="39"/>
    </row>
    <row r="67" spans="1:12" s="24" customFormat="1" ht="14.25" x14ac:dyDescent="0.2">
      <c r="A67" s="40">
        <v>2830336786</v>
      </c>
      <c r="B67" s="32" t="s">
        <v>1847</v>
      </c>
      <c r="C67" s="33">
        <v>46077</v>
      </c>
      <c r="D67" s="34">
        <v>2</v>
      </c>
      <c r="E67" s="35">
        <v>7512.16</v>
      </c>
      <c r="F67" s="36"/>
      <c r="G67" s="36">
        <v>7512.16</v>
      </c>
      <c r="H67" s="36"/>
      <c r="I67" s="37">
        <v>46103</v>
      </c>
      <c r="J67" s="38">
        <v>2</v>
      </c>
      <c r="K67" s="38"/>
      <c r="L67" s="39"/>
    </row>
    <row r="68" spans="1:12" s="24" customFormat="1" ht="14.25" x14ac:dyDescent="0.2">
      <c r="A68" s="40">
        <v>2830336812</v>
      </c>
      <c r="B68" s="32" t="s">
        <v>1847</v>
      </c>
      <c r="C68" s="33">
        <v>46077</v>
      </c>
      <c r="D68" s="34">
        <v>2</v>
      </c>
      <c r="E68" s="35">
        <v>23644.05</v>
      </c>
      <c r="F68" s="36"/>
      <c r="G68" s="36">
        <v>23644.05</v>
      </c>
      <c r="H68" s="36"/>
      <c r="I68" s="37">
        <v>46103</v>
      </c>
      <c r="J68" s="38">
        <v>2</v>
      </c>
      <c r="K68" s="38"/>
      <c r="L68" s="39"/>
    </row>
    <row r="69" spans="1:12" s="24" customFormat="1" ht="14.25" x14ac:dyDescent="0.2">
      <c r="A69" s="40">
        <v>2830336866</v>
      </c>
      <c r="B69" s="32" t="s">
        <v>1847</v>
      </c>
      <c r="C69" s="33">
        <v>46078</v>
      </c>
      <c r="D69" s="34">
        <v>2</v>
      </c>
      <c r="E69" s="35">
        <v>6934.29</v>
      </c>
      <c r="F69" s="36"/>
      <c r="G69" s="36">
        <v>6934.29</v>
      </c>
      <c r="H69" s="36"/>
      <c r="I69" s="37">
        <v>46104</v>
      </c>
      <c r="J69" s="38">
        <v>3</v>
      </c>
      <c r="K69" s="38"/>
      <c r="L69" s="39"/>
    </row>
    <row r="70" spans="1:12" s="24" customFormat="1" ht="14.25" x14ac:dyDescent="0.2">
      <c r="A70" s="40">
        <v>2830336867</v>
      </c>
      <c r="B70" s="32" t="s">
        <v>1847</v>
      </c>
      <c r="C70" s="33">
        <v>46078</v>
      </c>
      <c r="D70" s="34">
        <v>2</v>
      </c>
      <c r="E70" s="35">
        <v>7.42</v>
      </c>
      <c r="F70" s="36"/>
      <c r="G70" s="36">
        <v>7.42</v>
      </c>
      <c r="H70" s="36"/>
      <c r="I70" s="37">
        <v>46104</v>
      </c>
      <c r="J70" s="38">
        <v>3</v>
      </c>
      <c r="K70" s="38"/>
      <c r="L70" s="39"/>
    </row>
    <row r="71" spans="1:12" s="24" customFormat="1" ht="14.25" x14ac:dyDescent="0.2">
      <c r="A71" s="40">
        <v>2830336945</v>
      </c>
      <c r="B71" s="32" t="s">
        <v>1847</v>
      </c>
      <c r="C71" s="33">
        <v>46078</v>
      </c>
      <c r="D71" s="34">
        <v>2</v>
      </c>
      <c r="E71" s="35">
        <v>3600.63</v>
      </c>
      <c r="F71" s="36"/>
      <c r="G71" s="36">
        <v>3600.63</v>
      </c>
      <c r="H71" s="36"/>
      <c r="I71" s="37">
        <v>46104</v>
      </c>
      <c r="J71" s="38">
        <v>3</v>
      </c>
      <c r="K71" s="38"/>
      <c r="L71" s="39"/>
    </row>
    <row r="72" spans="1:12" s="24" customFormat="1" ht="14.25" x14ac:dyDescent="0.2">
      <c r="A72" s="40">
        <v>2830337685</v>
      </c>
      <c r="B72" s="32" t="s">
        <v>1847</v>
      </c>
      <c r="C72" s="33">
        <v>46079</v>
      </c>
      <c r="D72" s="34">
        <v>2</v>
      </c>
      <c r="E72" s="35">
        <v>65284.800000000003</v>
      </c>
      <c r="F72" s="36"/>
      <c r="G72" s="36">
        <v>65284.800000000003</v>
      </c>
      <c r="H72" s="36"/>
      <c r="I72" s="37">
        <v>46105</v>
      </c>
      <c r="J72" s="38">
        <v>4</v>
      </c>
      <c r="K72" s="38"/>
      <c r="L72" s="39"/>
    </row>
    <row r="73" spans="1:12" s="24" customFormat="1" ht="14.25" x14ac:dyDescent="0.2">
      <c r="A73" s="40">
        <v>2830337765</v>
      </c>
      <c r="B73" s="32" t="s">
        <v>1847</v>
      </c>
      <c r="C73" s="33">
        <v>46084</v>
      </c>
      <c r="D73" s="34">
        <v>3</v>
      </c>
      <c r="E73" s="35">
        <v>16451.77</v>
      </c>
      <c r="F73" s="36"/>
      <c r="G73" s="36">
        <v>16451.77</v>
      </c>
      <c r="H73" s="36"/>
      <c r="I73" s="37">
        <v>46113</v>
      </c>
      <c r="J73" s="38">
        <v>12</v>
      </c>
      <c r="K73" s="38"/>
      <c r="L73" s="39"/>
    </row>
    <row r="74" spans="1:12" s="24" customFormat="1" ht="14.25" x14ac:dyDescent="0.2">
      <c r="A74" s="40">
        <v>2830337788</v>
      </c>
      <c r="B74" s="32" t="s">
        <v>1847</v>
      </c>
      <c r="C74" s="33">
        <v>46084</v>
      </c>
      <c r="D74" s="34">
        <v>3</v>
      </c>
      <c r="E74" s="35">
        <v>1172.99</v>
      </c>
      <c r="F74" s="36"/>
      <c r="G74" s="36">
        <v>1172.99</v>
      </c>
      <c r="H74" s="36"/>
      <c r="I74" s="37">
        <v>46113</v>
      </c>
      <c r="J74" s="38">
        <v>12</v>
      </c>
      <c r="K74" s="38"/>
      <c r="L74" s="39"/>
    </row>
    <row r="75" spans="1:12" s="24" customFormat="1" ht="14.25" x14ac:dyDescent="0.2">
      <c r="A75" s="40">
        <v>2830338266</v>
      </c>
      <c r="B75" s="32" t="s">
        <v>1847</v>
      </c>
      <c r="C75" s="33">
        <v>46086</v>
      </c>
      <c r="D75" s="34">
        <v>3</v>
      </c>
      <c r="E75" s="35">
        <v>1187.8399999999999</v>
      </c>
      <c r="F75" s="36"/>
      <c r="G75" s="36">
        <v>1187.8399999999999</v>
      </c>
      <c r="H75" s="36"/>
      <c r="I75" s="37">
        <v>46115</v>
      </c>
      <c r="J75" s="38">
        <v>14</v>
      </c>
      <c r="K75" s="38"/>
      <c r="L75" s="39"/>
    </row>
    <row r="76" spans="1:12" s="24" customFormat="1" ht="14.25" x14ac:dyDescent="0.2">
      <c r="A76" s="40">
        <v>2830338267</v>
      </c>
      <c r="B76" s="32" t="s">
        <v>1847</v>
      </c>
      <c r="C76" s="33">
        <v>46086</v>
      </c>
      <c r="D76" s="34">
        <v>3</v>
      </c>
      <c r="E76" s="35">
        <v>683.47</v>
      </c>
      <c r="F76" s="36"/>
      <c r="G76" s="36">
        <v>683.47</v>
      </c>
      <c r="H76" s="36"/>
      <c r="I76" s="37">
        <v>46115</v>
      </c>
      <c r="J76" s="38">
        <v>14</v>
      </c>
      <c r="K76" s="38"/>
      <c r="L76" s="39"/>
    </row>
    <row r="77" spans="1:12" s="24" customFormat="1" ht="14.25" x14ac:dyDescent="0.2">
      <c r="A77" s="40">
        <v>2830338268</v>
      </c>
      <c r="B77" s="32" t="s">
        <v>1847</v>
      </c>
      <c r="C77" s="33">
        <v>46086</v>
      </c>
      <c r="D77" s="34">
        <v>3</v>
      </c>
      <c r="E77" s="35">
        <v>1369.63</v>
      </c>
      <c r="F77" s="36"/>
      <c r="G77" s="36">
        <v>1369.63</v>
      </c>
      <c r="H77" s="36"/>
      <c r="I77" s="37">
        <v>46115</v>
      </c>
      <c r="J77" s="38">
        <v>14</v>
      </c>
      <c r="K77" s="38"/>
      <c r="L77" s="39"/>
    </row>
    <row r="78" spans="1:12" s="24" customFormat="1" ht="14.25" x14ac:dyDescent="0.2">
      <c r="A78" s="40">
        <v>2830338269</v>
      </c>
      <c r="B78" s="32" t="s">
        <v>1847</v>
      </c>
      <c r="C78" s="33">
        <v>46086</v>
      </c>
      <c r="D78" s="34">
        <v>3</v>
      </c>
      <c r="E78" s="35">
        <v>222.72</v>
      </c>
      <c r="F78" s="36"/>
      <c r="G78" s="36">
        <v>222.72</v>
      </c>
      <c r="H78" s="36"/>
      <c r="I78" s="37">
        <v>46115</v>
      </c>
      <c r="J78" s="38">
        <v>14</v>
      </c>
      <c r="K78" s="38"/>
      <c r="L78" s="39"/>
    </row>
    <row r="79" spans="1:12" s="24" customFormat="1" ht="14.25" x14ac:dyDescent="0.2">
      <c r="A79" s="40">
        <v>2830338383</v>
      </c>
      <c r="B79" s="32" t="s">
        <v>1847</v>
      </c>
      <c r="C79" s="33">
        <v>46086</v>
      </c>
      <c r="D79" s="34">
        <v>3</v>
      </c>
      <c r="E79" s="35">
        <v>1192.01</v>
      </c>
      <c r="F79" s="36"/>
      <c r="G79" s="36">
        <v>1192.01</v>
      </c>
      <c r="H79" s="36"/>
      <c r="I79" s="37">
        <v>46115</v>
      </c>
      <c r="J79" s="38">
        <v>14</v>
      </c>
      <c r="K79" s="38"/>
      <c r="L79" s="39"/>
    </row>
    <row r="80" spans="1:12" s="24" customFormat="1" ht="14.25" x14ac:dyDescent="0.2">
      <c r="A80" s="40">
        <v>2830338418</v>
      </c>
      <c r="B80" s="32" t="s">
        <v>1847</v>
      </c>
      <c r="C80" s="33">
        <v>46086</v>
      </c>
      <c r="D80" s="34">
        <v>3</v>
      </c>
      <c r="E80" s="35">
        <v>32903.54</v>
      </c>
      <c r="F80" s="36"/>
      <c r="G80" s="36">
        <v>32903.54</v>
      </c>
      <c r="H80" s="36"/>
      <c r="I80" s="37">
        <v>46115</v>
      </c>
      <c r="J80" s="38">
        <v>14</v>
      </c>
      <c r="K80" s="38"/>
      <c r="L80" s="39"/>
    </row>
    <row r="81" spans="1:12" s="24" customFormat="1" ht="14.25" x14ac:dyDescent="0.2">
      <c r="A81" s="40">
        <v>2830338531</v>
      </c>
      <c r="B81" s="32" t="s">
        <v>1847</v>
      </c>
      <c r="C81" s="33">
        <v>46087</v>
      </c>
      <c r="D81" s="34">
        <v>3</v>
      </c>
      <c r="E81" s="35">
        <v>676.05</v>
      </c>
      <c r="F81" s="36"/>
      <c r="G81" s="36">
        <v>676.05</v>
      </c>
      <c r="H81" s="36"/>
      <c r="I81" s="37">
        <v>46116</v>
      </c>
      <c r="J81" s="38">
        <v>15</v>
      </c>
      <c r="K81" s="38"/>
      <c r="L81" s="39"/>
    </row>
    <row r="82" spans="1:12" s="24" customFormat="1" ht="14.25" x14ac:dyDescent="0.2">
      <c r="A82" s="40">
        <v>2830338645</v>
      </c>
      <c r="B82" s="32" t="s">
        <v>1847</v>
      </c>
      <c r="C82" s="33">
        <v>46090</v>
      </c>
      <c r="D82" s="34">
        <v>3</v>
      </c>
      <c r="E82" s="35">
        <v>5156.2</v>
      </c>
      <c r="F82" s="36"/>
      <c r="G82" s="36">
        <v>5156.2</v>
      </c>
      <c r="H82" s="36"/>
      <c r="I82" s="37">
        <v>46119</v>
      </c>
      <c r="J82" s="38">
        <v>18</v>
      </c>
      <c r="K82" s="38"/>
      <c r="L82" s="39"/>
    </row>
    <row r="83" spans="1:12" s="24" customFormat="1" ht="14.25" x14ac:dyDescent="0.2">
      <c r="A83" s="40">
        <v>2830338686</v>
      </c>
      <c r="B83" s="32" t="s">
        <v>1847</v>
      </c>
      <c r="C83" s="33">
        <v>46090</v>
      </c>
      <c r="D83" s="34">
        <v>3</v>
      </c>
      <c r="E83" s="35">
        <v>1714.94</v>
      </c>
      <c r="F83" s="36"/>
      <c r="G83" s="36">
        <v>1714.94</v>
      </c>
      <c r="H83" s="36"/>
      <c r="I83" s="37">
        <v>46119</v>
      </c>
      <c r="J83" s="38">
        <v>18</v>
      </c>
      <c r="K83" s="38"/>
      <c r="L83" s="39"/>
    </row>
    <row r="84" spans="1:12" s="24" customFormat="1" ht="14.25" x14ac:dyDescent="0.2">
      <c r="A84" s="40">
        <v>2830338844</v>
      </c>
      <c r="B84" s="32" t="s">
        <v>1847</v>
      </c>
      <c r="C84" s="33">
        <v>46090</v>
      </c>
      <c r="D84" s="34">
        <v>3</v>
      </c>
      <c r="E84" s="35">
        <v>6528.48</v>
      </c>
      <c r="F84" s="36"/>
      <c r="G84" s="36">
        <v>6528.48</v>
      </c>
      <c r="H84" s="36"/>
      <c r="I84" s="37">
        <v>46119</v>
      </c>
      <c r="J84" s="38">
        <v>18</v>
      </c>
      <c r="K84" s="38"/>
      <c r="L84" s="39"/>
    </row>
    <row r="85" spans="1:12" s="24" customFormat="1" ht="14.25" x14ac:dyDescent="0.2">
      <c r="A85" s="40">
        <v>2830339151</v>
      </c>
      <c r="B85" s="32" t="s">
        <v>1847</v>
      </c>
      <c r="C85" s="33">
        <v>46092</v>
      </c>
      <c r="D85" s="34">
        <v>3</v>
      </c>
      <c r="E85" s="35">
        <v>2249.4699999999998</v>
      </c>
      <c r="F85" s="36"/>
      <c r="G85" s="36">
        <v>2249.4699999999998</v>
      </c>
      <c r="H85" s="36"/>
      <c r="I85" s="37">
        <v>46121</v>
      </c>
      <c r="J85" s="38">
        <v>20</v>
      </c>
      <c r="K85" s="38"/>
      <c r="L85" s="39"/>
    </row>
    <row r="86" spans="1:12" s="24" customFormat="1" ht="14.25" x14ac:dyDescent="0.2">
      <c r="A86" s="40">
        <v>2830339052</v>
      </c>
      <c r="B86" s="32" t="s">
        <v>1847</v>
      </c>
      <c r="C86" s="33">
        <v>46092</v>
      </c>
      <c r="D86" s="34">
        <v>3</v>
      </c>
      <c r="E86" s="35">
        <v>44.54</v>
      </c>
      <c r="F86" s="36"/>
      <c r="G86" s="36">
        <v>44.54</v>
      </c>
      <c r="H86" s="36"/>
      <c r="I86" s="37">
        <v>46121</v>
      </c>
      <c r="J86" s="38"/>
      <c r="K86" s="38"/>
      <c r="L86" s="39"/>
    </row>
    <row r="87" spans="1:12" s="24" customFormat="1" ht="14.25" x14ac:dyDescent="0.2">
      <c r="A87" s="40">
        <v>2830339053</v>
      </c>
      <c r="B87" s="32" t="s">
        <v>1847</v>
      </c>
      <c r="C87" s="33">
        <v>46092</v>
      </c>
      <c r="D87" s="34">
        <v>3</v>
      </c>
      <c r="E87" s="35">
        <v>2698.49</v>
      </c>
      <c r="F87" s="36"/>
      <c r="G87" s="36">
        <v>2698.49</v>
      </c>
      <c r="H87" s="36"/>
      <c r="I87" s="37">
        <v>46121</v>
      </c>
      <c r="J87" s="38"/>
      <c r="K87" s="38"/>
      <c r="L87" s="39"/>
    </row>
    <row r="88" spans="1:12" s="24" customFormat="1" ht="14.25" x14ac:dyDescent="0.2">
      <c r="A88" s="40">
        <v>2830339152</v>
      </c>
      <c r="B88" s="32" t="s">
        <v>1847</v>
      </c>
      <c r="C88" s="33">
        <v>46093</v>
      </c>
      <c r="D88" s="34">
        <v>3</v>
      </c>
      <c r="E88" s="35">
        <v>408900</v>
      </c>
      <c r="F88" s="36"/>
      <c r="G88" s="36">
        <v>408900</v>
      </c>
      <c r="H88" s="36"/>
      <c r="I88" s="37">
        <v>46122</v>
      </c>
      <c r="J88" s="38"/>
      <c r="K88" s="38"/>
      <c r="L88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Vtas SAE</vt:lpstr>
      <vt:lpstr>CXC VG</vt:lpstr>
      <vt:lpstr>CXC VCD</vt:lpstr>
      <vt:lpstr>CXPG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Delgadillo</dc:creator>
  <cp:lastModifiedBy>Salvador Ruiz Esparza Chavez</cp:lastModifiedBy>
  <cp:lastPrinted>2026-03-11T20:46:29Z</cp:lastPrinted>
  <dcterms:created xsi:type="dcterms:W3CDTF">2026-01-22T19:34:09Z</dcterms:created>
  <dcterms:modified xsi:type="dcterms:W3CDTF">2026-04-08T20:59:47Z</dcterms:modified>
</cp:coreProperties>
</file>